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Prince\Downloads\"/>
    </mc:Choice>
  </mc:AlternateContent>
  <xr:revisionPtr revIDLastSave="0" documentId="8_{028A597E-F619-466D-82E3-1CF9395D2B79}" xr6:coauthVersionLast="47" xr6:coauthVersionMax="47" xr10:uidLastSave="{00000000-0000-0000-0000-000000000000}"/>
  <bookViews>
    <workbookView xWindow="-110" yWindow="-110" windowWidth="19420" windowHeight="10420" activeTab="5" xr2:uid="{346724B3-1C49-40AE-AA36-C77CF5D6DD09}"/>
  </bookViews>
  <sheets>
    <sheet name="Pivot" sheetId="5" r:id="rId1"/>
    <sheet name="Questions &amp; KPIs" sheetId="2" r:id="rId2"/>
    <sheet name="Sheet2" sheetId="6" r:id="rId3"/>
    <sheet name="Sheet5" sheetId="9" r:id="rId4"/>
    <sheet name="Dashboard" sheetId="3" r:id="rId5"/>
    <sheet name="Data" sheetId="1" r:id="rId6"/>
  </sheets>
  <definedNames>
    <definedName name="_xlchart.v5.0" hidden="1">Sheet5!$A$122:$B$122</definedName>
    <definedName name="_xlchart.v5.1" hidden="1">Sheet5!$A$123:$B$181</definedName>
    <definedName name="_xlchart.v5.10" hidden="1">Sheet5!$D$122</definedName>
    <definedName name="_xlchart.v5.11" hidden="1">Sheet5!$D$123:$D$181</definedName>
    <definedName name="_xlchart.v5.12" hidden="1">Sheet5!$L$137:$M$137</definedName>
    <definedName name="_xlchart.v5.13" hidden="1">Sheet5!$L$138:$M$195</definedName>
    <definedName name="_xlchart.v5.14" hidden="1">Sheet5!$N$137</definedName>
    <definedName name="_xlchart.v5.15" hidden="1">Sheet5!$N$138:$N$195</definedName>
    <definedName name="_xlchart.v5.2" hidden="1">Sheet5!$C$122</definedName>
    <definedName name="_xlchart.v5.3" hidden="1">Sheet5!$C$123:$C$181</definedName>
    <definedName name="_xlchart.v5.4" hidden="1">Sheet5!$D$122</definedName>
    <definedName name="_xlchart.v5.5" hidden="1">Sheet5!$D$123:$D$181</definedName>
    <definedName name="_xlchart.v5.6" hidden="1">Sheet5!$A$122:$B$122</definedName>
    <definedName name="_xlchart.v5.7" hidden="1">Sheet5!$A$123:$B$181</definedName>
    <definedName name="_xlchart.v5.8" hidden="1">Sheet5!$C$122</definedName>
    <definedName name="_xlchart.v5.9" hidden="1">Sheet5!$C$123:$C$181</definedName>
    <definedName name="Slicer_Customer_Gender">#N/A</definedName>
    <definedName name="Slicer_Order_Mode">#N/A</definedName>
  </definedNames>
  <calcPr calcId="191029"/>
  <pivotCaches>
    <pivotCache cacheId="3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4" i="6" l="1"/>
  <c r="J4" i="6"/>
  <c r="K4" i="6"/>
  <c r="H5" i="6"/>
  <c r="I5" i="6"/>
  <c r="J5" i="6"/>
  <c r="K5" i="6"/>
  <c r="H6" i="6"/>
  <c r="I6" i="6"/>
  <c r="J6" i="6"/>
  <c r="K6" i="6"/>
  <c r="H7" i="6"/>
  <c r="I7" i="6"/>
  <c r="J7" i="6"/>
  <c r="K7" i="6"/>
  <c r="H8" i="6"/>
  <c r="I8" i="6"/>
  <c r="J8" i="6"/>
  <c r="K8" i="6"/>
  <c r="H9" i="6"/>
  <c r="I9" i="6"/>
  <c r="J9" i="6"/>
  <c r="K9" i="6"/>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 r="L4" i="5"/>
  <c r="K4" i="5"/>
  <c r="J4" i="5"/>
  <c r="I4" i="5"/>
  <c r="H4"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<sst xmlns="http://schemas.openxmlformats.org/spreadsheetml/2006/main" count="14872" uniqueCount="2545">
  <si>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</si>
  <si>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</si>
  <si>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</si>
  <si>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</si>
  <si>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</si>
  <si>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</si>
  <si>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</si>
  <si>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</si>
  <si>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</si>
  <si>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</si>
  <si>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</si>
  <si>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</si>
  <si>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</si>
  <si>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</si>
  <si>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</si>
  <si>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</si>
  <si>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</si>
  <si>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</si>
  <si>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</si>
  <si>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</si>
  <si>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</si>
  <si>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</si>
  <si>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</si>
  <si>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</si>
  <si>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</si>
  <si>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</si>
  <si>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</si>
  <si>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</si>
  <si>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</si>
  <si>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</si>
  <si>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</si>
  <si>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</si>
  <si>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</si>
  <si>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</si>
  <si>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</si>
  <si>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</si>
  <si>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</si>
  <si>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</si>
  <si>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</si>
  <si>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</si>
  <si>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</si>
  <si>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</si>
  <si>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</si>
  <si>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</si>
  <si>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</si>
  <si>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</si>
  <si>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</si>
  <si>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</si>
  <si>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</si>
  <si>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</si>
  <si>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</si>
  <si>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</si>
  <si>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</si>
  <si>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</si>
  <si>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</si>
  <si>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</si>
  <si>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</si>
  <si>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</si>
  <si>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</si>
  <si>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</si>
  <si>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</si>
  <si>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</si>
  <si>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</si>
  <si>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</si>
  <si>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</si>
  <si>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</si>
  <si>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</si>
  <si>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</si>
  <si>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</si>
  <si>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</si>
  <si>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</si>
  <si>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</si>
  <si>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</si>
  <si>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</si>
  <si>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</si>
  <si>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</si>
  <si>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</si>
  <si>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</si>
  <si>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</si>
  <si>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</si>
  <si>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</si>
  <si>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</si>
  <si>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</si>
  <si>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</si>
  <si>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</si>
  <si>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</si>
  <si>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</si>
  <si>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</si>
  <si>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</si>
  <si>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</si>
  <si>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</si>
  <si>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</si>
  <si>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</si>
  <si>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</si>
  <si>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</si>
  <si>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</si>
  <si>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</si>
  <si>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</si>
  <si>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</si>
  <si>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</si>
  <si>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</si>
  <si>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</si>
  <si>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</si>
  <si>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</si>
  <si>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</si>
  <si>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</si>
  <si>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</si>
  <si>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</si>
  <si>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</si>
  <si>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</si>
  <si>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</si>
  <si>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</si>
  <si>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</si>
  <si>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</si>
  <si>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</si>
  <si>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</si>
  <si>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</si>
  <si>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</si>
  <si>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</si>
  <si>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</si>
  <si>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</si>
  <si>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</si>
  <si>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</si>
  <si>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</si>
  <si>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</si>
  <si>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</si>
  <si>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</si>
  <si>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</si>
  <si>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</si>
  <si>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</si>
  <si>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</si>
  <si>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</si>
  <si>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</si>
  <si>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</si>
  <si>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</si>
  <si>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</si>
  <si>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</si>
  <si>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</si>
  <si>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</si>
  <si>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</si>
  <si>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</si>
  <si>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</si>
  <si>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</si>
  <si>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</si>
  <si>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</si>
  <si>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</si>
  <si>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</si>
  <si>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</si>
  <si>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</si>
  <si>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</si>
  <si>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</si>
  <si>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</si>
  <si>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</si>
  <si>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</si>
  <si>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</si>
  <si>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</si>
  <si>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</si>
  <si>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</si>
  <si>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</si>
  <si>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</si>
  <si>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</si>
  <si>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</si>
  <si>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</si>
  <si>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</si>
  <si>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</si>
  <si>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</si>
  <si>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</si>
  <si>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</si>
  <si>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</si>
  <si>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</si>
  <si>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</si>
  <si>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</si>
  <si>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</si>
  <si>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</si>
  <si>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</si>
  <si>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</si>
  <si>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</si>
  <si>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</si>
  <si>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</si>
  <si>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</si>
  <si>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</si>
  <si>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</si>
  <si>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</si>
  <si>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</si>
  <si>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</si>
  <si>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</si>
  <si>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</si>
  <si>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</si>
  <si>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</si>
  <si>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</si>
  <si>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</si>
  <si>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</si>
  <si>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</si>
  <si>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</si>
  <si>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</si>
  <si>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</si>
  <si>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</si>
  <si>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</si>
  <si>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</si>
  <si>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</si>
  <si>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</si>
  <si>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</si>
  <si>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</si>
  <si>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</si>
  <si>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</si>
  <si>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</si>
  <si>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</si>
  <si>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</si>
  <si>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</si>
  <si>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</si>
  <si>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</si>
  <si>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</si>
  <si>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</si>
  <si>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</si>
  <si>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</si>
  <si>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</si>
  <si>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</si>
  <si>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</si>
  <si>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</si>
  <si>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</si>
  <si>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</si>
  <si>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</si>
  <si>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</si>
  <si>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</si>
  <si>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</si>
  <si>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</si>
  <si>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</si>
  <si>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</si>
  <si>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</si>
  <si>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</si>
  <si>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</si>
  <si>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</si>
  <si>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</si>
  <si>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</si>
  <si>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</si>
  <si>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</si>
  <si>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</si>
  <si>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</si>
  <si>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</si>
  <si>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</si>
  <si>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</si>
  <si>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</si>
  <si>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</si>
  <si>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</si>
  <si>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</si>
  <si>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</si>
  <si>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</si>
  <si>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</si>
  <si>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</si>
  <si>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</si>
  <si>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</si>
  <si>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</si>
  <si>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</si>
  <si>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</si>
  <si>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</si>
  <si>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</si>
  <si>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</si>
  <si>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</si>
  <si>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</si>
  <si>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</si>
  <si>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</si>
  <si>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</si>
  <si>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</si>
  <si>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</si>
  <si>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</si>
  <si>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</si>
  <si>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</si>
  <si>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</si>
  <si>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</si>
  <si>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</si>
  <si>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</si>
  <si>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</si>
  <si>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</si>
  <si>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</si>
  <si>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</si>
  <si>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</si>
  <si>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</si>
  <si>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</si>
  <si>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</si>
  <si>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</si>
  <si>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</si>
  <si>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</si>
  <si>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</si>
  <si>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</si>
  <si>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</si>
  <si>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</si>
  <si>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</si>
  <si>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</si>
  <si>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</si>
  <si>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</si>
  <si>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</si>
  <si>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</si>
  <si>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</si>
  <si>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</si>
  <si>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</si>
  <si>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</si>
  <si>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</si>
  <si>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</si>
  <si>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</si>
  <si>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</si>
  <si>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</si>
  <si>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</si>
  <si>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</si>
  <si>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</si>
  <si>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</si>
  <si>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</si>
  <si>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</si>
  <si>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</si>
  <si>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</si>
  <si>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</si>
  <si>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</si>
  <si>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</si>
  <si>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</si>
  <si>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</si>
  <si>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</si>
  <si>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</si>
  <si>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</si>
  <si>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</si>
  <si>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</si>
  <si>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</si>
  <si>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</si>
  <si>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</si>
  <si>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</si>
  <si>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</si>
  <si>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</si>
  <si>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</si>
  <si>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</si>
  <si>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</si>
  <si>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</si>
  <si>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</si>
  <si>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</si>
  <si>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</si>
  <si>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</si>
  <si>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</si>
  <si>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</si>
  <si>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</si>
  <si>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</si>
  <si>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</si>
  <si>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</si>
  <si>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</si>
  <si>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</si>
  <si>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</si>
  <si>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</si>
  <si>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</si>
  <si>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</si>
  <si>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</si>
  <si>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</si>
  <si>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</si>
  <si>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</si>
  <si>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</si>
  <si>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</si>
  <si>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</si>
  <si>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</si>
  <si>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</si>
  <si>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</si>
  <si>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</si>
  <si>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</si>
  <si>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</si>
  <si>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</si>
  <si>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</si>
  <si>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</si>
  <si>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</si>
  <si>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</si>
  <si>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</si>
  <si>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</si>
  <si>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</si>
  <si>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</si>
  <si>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</si>
  <si>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</si>
  <si>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</si>
  <si>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</si>
  <si>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</si>
  <si>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</si>
  <si>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</si>
  <si>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</si>
  <si>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</si>
  <si>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</si>
  <si>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</si>
  <si>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</si>
  <si>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</si>
  <si>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</si>
  <si>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</si>
  <si>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</si>
  <si>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</si>
  <si>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</si>
  <si>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</si>
  <si>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</si>
  <si>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</si>
  <si>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</si>
  <si>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</si>
  <si>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</si>
  <si>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</si>
  <si>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</si>
  <si>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</si>
  <si>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</si>
  <si>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</si>
  <si>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</si>
  <si>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</si>
  <si>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</si>
  <si>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</si>
  <si>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</si>
  <si>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</si>
  <si>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</si>
  <si>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</si>
  <si>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</si>
  <si>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</si>
  <si>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</si>
  <si>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</si>
  <si>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</si>
  <si>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</si>
  <si>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</si>
  <si>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</si>
  <si>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</si>
  <si>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</si>
  <si>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</si>
  <si>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</si>
  <si>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</si>
  <si>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</si>
  <si>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</si>
  <si>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</si>
  <si>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</si>
  <si>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</si>
  <si>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</si>
  <si>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</si>
  <si>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</si>
  <si>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</si>
  <si>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</si>
  <si>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</si>
  <si>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</si>
  <si>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</si>
  <si>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</si>
  <si>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</si>
  <si>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</si>
  <si>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</si>
  <si>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</si>
  <si>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</si>
  <si>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</si>
  <si>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</si>
  <si>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</si>
  <si>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</si>
  <si>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</si>
  <si>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</si>
  <si>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</si>
  <si>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</si>
  <si>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</si>
  <si>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</si>
  <si>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</si>
  <si>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</si>
  <si>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</si>
  <si>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</si>
  <si>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</si>
  <si>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</si>
  <si>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</si>
  <si>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</si>
  <si>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</si>
  <si>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</si>
  <si>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</si>
  <si>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</si>
  <si>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</si>
  <si>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</si>
  <si>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</si>
  <si>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</si>
  <si>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</si>
  <si>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</si>
  <si>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</si>
  <si>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</si>
  <si>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</si>
  <si>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</si>
  <si>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</si>
  <si>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</si>
  <si>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</si>
  <si>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</si>
  <si>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</si>
  <si>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</si>
  <si>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</si>
  <si>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</si>
  <si>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</si>
  <si>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</si>
  <si>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</si>
  <si>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</si>
  <si>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</si>
  <si>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</si>
  <si>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</si>
  <si>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</si>
  <si>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</si>
  <si>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</si>
  <si>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</si>
  <si>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</si>
  <si>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</si>
  <si>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</si>
  <si>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</si>
  <si>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</si>
  <si>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</si>
  <si>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</si>
  <si>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</si>
  <si>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</si>
  <si>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</si>
  <si>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</si>
  <si>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</si>
  <si>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</si>
  <si>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</si>
  <si>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</si>
  <si>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</si>
  <si>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</si>
  <si>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</si>
  <si>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</si>
  <si>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</si>
  <si>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</si>
  <si>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</si>
  <si>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</si>
  <si>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</si>
  <si>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</si>
  <si>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</si>
  <si>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</si>
  <si>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</si>
  <si>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</si>
  <si>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</si>
  <si>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</si>
  <si>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</si>
  <si>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</si>
  <si>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</si>
  <si>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</si>
  <si>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</si>
  <si>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</si>
  <si>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</si>
  <si>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</si>
  <si>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</si>
  <si>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</si>
  <si>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</si>
  <si>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</si>
  <si>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</si>
  <si>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</si>
  <si>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</si>
  <si>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</si>
  <si>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</si>
  <si>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</si>
  <si>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</si>
  <si>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</si>
  <si>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</si>
  <si>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</si>
  <si>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</si>
  <si>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</si>
  <si>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</si>
  <si>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</si>
  <si>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</si>
  <si>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</si>
  <si>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</si>
  <si>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</si>
  <si>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</si>
  <si>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</si>
  <si>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</si>
  <si>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</si>
  <si>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</si>
  <si>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</si>
  <si>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</si>
  <si>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</si>
  <si>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</si>
  <si>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</si>
  <si>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</si>
  <si>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</si>
  <si>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</si>
  <si>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</si>
  <si>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</si>
  <si>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</si>
  <si>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</si>
  <si>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</si>
  <si>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</si>
  <si>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</si>
  <si>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</si>
  <si>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</si>
  <si>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</si>
  <si>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</si>
  <si>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</si>
  <si>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</si>
  <si>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</si>
  <si>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</si>
  <si>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</si>
  <si>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</si>
  <si>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</si>
  <si>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</si>
  <si>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</si>
  <si>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</si>
  <si>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</si>
  <si>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</si>
  <si>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</si>
  <si>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</si>
  <si>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</si>
  <si>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</si>
  <si>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</si>
  <si>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</si>
  <si>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</si>
  <si>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</si>
  <si>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</si>
  <si>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</si>
  <si>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</si>
  <si>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</si>
  <si>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</si>
  <si>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</si>
  <si>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</si>
  <si>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</si>
  <si>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</si>
  <si>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</si>
  <si>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</si>
  <si>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</si>
  <si>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</si>
  <si>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</si>
  <si>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</si>
  <si>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</si>
  <si>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</si>
  <si>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</si>
  <si>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</si>
  <si>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</si>
  <si>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</si>
  <si>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</si>
  <si>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</si>
  <si>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</si>
  <si>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</si>
  <si>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</si>
  <si>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</si>
  <si>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</si>
  <si>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</si>
  <si>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</si>
  <si>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</si>
  <si>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</si>
  <si>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</si>
  <si>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</si>
  <si>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</si>
  <si>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</si>
  <si>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</si>
  <si>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</si>
  <si>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</si>
  <si>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</si>
  <si>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</si>
  <si>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</si>
  <si>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</si>
  <si>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</si>
  <si>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</si>
  <si>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</si>
  <si>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</si>
  <si>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</si>
  <si>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</si>
  <si>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</si>
  <si>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</si>
  <si>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</si>
  <si>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</si>
  <si>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</si>
  <si>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</si>
  <si>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</si>
  <si>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</si>
  <si>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</si>
  <si>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</si>
  <si>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</si>
  <si>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</si>
  <si>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</si>
  <si>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</si>
  <si>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</si>
  <si>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</si>
  <si>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</si>
  <si>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</si>
  <si>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</si>
  <si>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</si>
  <si>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</si>
  <si>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</si>
  <si>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</si>
  <si>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</si>
  <si>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</si>
  <si>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</si>
  <si>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</si>
  <si>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</si>
  <si>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</si>
  <si>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</si>
  <si>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</si>
  <si>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</si>
  <si>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</si>
  <si>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</si>
  <si>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</si>
  <si>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</si>
  <si>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</si>
  <si>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</si>
  <si>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</si>
  <si>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</si>
  <si>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</si>
  <si>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</si>
  <si>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</si>
  <si>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</si>
  <si>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</si>
  <si>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</si>
  <si>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</si>
  <si>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</si>
  <si>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</si>
  <si>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</si>
  <si>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</si>
  <si>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</si>
  <si>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</si>
  <si>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</si>
  <si>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</si>
  <si>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</si>
  <si>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</si>
  <si>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</si>
  <si>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</si>
  <si>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</si>
  <si>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</si>
  <si>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</si>
  <si>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</si>
  <si>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</si>
  <si>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</si>
  <si>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</si>
  <si>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</si>
  <si>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</si>
  <si>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</si>
  <si>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</si>
  <si>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</si>
  <si>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</si>
  <si>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</si>
  <si>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</si>
  <si>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</si>
  <si>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</si>
  <si>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</si>
  <si>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</si>
  <si>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</si>
  <si>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</si>
  <si>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</si>
  <si>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</si>
  <si>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</si>
  <si>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</si>
  <si>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</si>
  <si>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</si>
  <si>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</si>
  <si>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</si>
  <si>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</si>
  <si>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</si>
  <si>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</si>
  <si>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</si>
  <si>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</si>
  <si>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</si>
  <si>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</si>
  <si>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</si>
  <si>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</si>
  <si>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</si>
  <si>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</si>
  <si>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</si>
  <si>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</si>
  <si>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</si>
  <si>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</si>
  <si>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</si>
  <si>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</si>
  <si>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</si>
  <si>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</si>
  <si>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</si>
  <si>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</si>
  <si>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</si>
  <si>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</si>
  <si>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</si>
  <si>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</si>
  <si>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</si>
  <si>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</si>
  <si>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</si>
  <si>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</si>
  <si>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</si>
  <si>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</si>
  <si>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</si>
  <si>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</si>
  <si>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</si>
  <si>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</si>
  <si>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</si>
  <si>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</si>
  <si>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</si>
  <si>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</si>
  <si>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</si>
  <si>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</si>
  <si>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</si>
  <si>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</si>
  <si>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</si>
  <si>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</si>
  <si>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</si>
  <si>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</si>
  <si>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</si>
  <si>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</si>
  <si>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</si>
  <si>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</si>
  <si>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</si>
  <si>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</si>
  <si>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</si>
  <si>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</si>
  <si>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</si>
  <si>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</si>
  <si>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</si>
  <si>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</si>
  <si>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</si>
  <si>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</si>
  <si>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</si>
  <si>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</si>
  <si>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</si>
  <si>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</si>
  <si>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</si>
  <si>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</si>
  <si>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</si>
  <si>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</si>
  <si>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</si>
  <si>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</si>
  <si>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</si>
  <si>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</si>
  <si>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</si>
  <si>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</si>
  <si>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</si>
  <si>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</si>
  <si>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</si>
  <si>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</si>
  <si>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</si>
  <si>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</si>
  <si>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</si>
  <si>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</si>
  <si>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</si>
  <si>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</si>
  <si>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</si>
  <si>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</si>
  <si>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</si>
  <si>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</si>
  <si>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</si>
  <si>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</si>
  <si>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</si>
  <si>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</si>
  <si>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</si>
  <si>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</si>
  <si>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</si>
  <si>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</si>
  <si>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</si>
  <si>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</si>
  <si>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</si>
  <si>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</si>
  <si>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</si>
  <si>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</si>
  <si>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</si>
  <si>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</si>
  <si>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</si>
  <si>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</si>
  <si>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</si>
  <si>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</si>
  <si>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</si>
  <si>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</si>
  <si>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</si>
  <si>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</si>
  <si>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</si>
  <si>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</si>
  <si>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</si>
  <si>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</si>
  <si>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</si>
  <si>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</si>
  <si>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</si>
  <si>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</si>
  <si>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</si>
  <si>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</si>
  <si>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</si>
  <si>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</si>
  <si>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</si>
  <si>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</si>
  <si>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</si>
  <si>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</si>
  <si>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</si>
  <si>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</si>
  <si>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</si>
  <si>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</si>
  <si>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</si>
  <si>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</si>
  <si>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</si>
  <si>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</si>
  <si>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</si>
  <si>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</si>
  <si>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</si>
  <si>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</si>
  <si>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</si>
  <si>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</si>
  <si>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</si>
  <si>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</si>
  <si>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</si>
  <si>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</si>
  <si>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</si>
  <si>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</si>
  <si>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</si>
  <si>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</si>
  <si>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</si>
  <si>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</si>
  <si>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</si>
  <si>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</si>
  <si>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</si>
  <si>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</si>
  <si>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</si>
  <si>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</si>
  <si>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</si>
  <si>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</si>
  <si>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</si>
  <si>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</si>
  <si>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</si>
  <si>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</si>
  <si>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</si>
  <si>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</si>
  <si>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</si>
  <si>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</si>
  <si>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</si>
  <si>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</si>
  <si>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</si>
  <si>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</si>
  <si>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</si>
  <si>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</si>
  <si>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</si>
  <si>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</si>
  <si>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</si>
  <si>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</si>
  <si>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</si>
  <si>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</si>
  <si>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</si>
  <si>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</si>
  <si>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</si>
  <si>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</si>
  <si>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</si>
  <si>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</si>
  <si>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</si>
  <si>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</si>
  <si>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</si>
  <si>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</si>
  <si>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</si>
  <si>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</si>
  <si>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</si>
  <si>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</si>
  <si>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</si>
  <si>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</si>
  <si>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</si>
  <si>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</si>
  <si>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</si>
  <si>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</si>
  <si>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</si>
  <si>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</si>
  <si>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</si>
  <si>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</si>
  <si>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</si>
  <si>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</si>
  <si>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</si>
  <si>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</si>
  <si>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</si>
  <si>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</si>
  <si>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</si>
  <si>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</si>
  <si>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</si>
  <si>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</si>
  <si>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</si>
  <si>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</si>
  <si>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</si>
  <si>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</si>
  <si>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</si>
  <si>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</si>
  <si>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</si>
  <si>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</si>
  <si>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</si>
  <si>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</si>
  <si>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</si>
  <si>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</si>
  <si>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</si>
  <si>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</si>
  <si>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</si>
  <si>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</si>
  <si>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</si>
  <si>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</si>
  <si>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</si>
  <si>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</si>
  <si>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</si>
  <si>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</si>
  <si>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</si>
  <si>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</si>
  <si>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</si>
  <si>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</si>
  <si>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</si>
  <si>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</si>
  <si>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</si>
  <si>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</si>
  <si>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</si>
  <si>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</si>
  <si>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</si>
  <si>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</si>
  <si>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</si>
  <si>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</si>
  <si>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</si>
  <si>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</si>
  <si>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</si>
  <si>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</si>
  <si>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</si>
  <si>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</si>
  <si>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</si>
  <si>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</si>
  <si>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</si>
  <si>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</si>
  <si>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</si>
  <si>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</si>
  <si>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</si>
  <si>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</si>
  <si>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</si>
  <si>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</si>
  <si>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</si>
  <si>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</si>
  <si>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</si>
  <si>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</si>
  <si>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</si>
  <si>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</si>
  <si>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</si>
  <si>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</si>
  <si>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</si>
  <si>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</si>
  <si>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</si>
  <si>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</si>
  <si>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</si>
  <si>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</si>
  <si>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</si>
  <si>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</si>
  <si>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</si>
  <si>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</si>
  <si>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</si>
  <si>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</si>
  <si>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</si>
  <si>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</si>
  <si>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</si>
  <si>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</si>
  <si>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</si>
  <si>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</si>
  <si>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</si>
  <si>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</si>
  <si>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</si>
  <si>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</si>
  <si>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</si>
  <si>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</si>
  <si>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</si>
  <si>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</si>
  <si>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</si>
  <si>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</si>
  <si>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</si>
  <si>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</si>
  <si>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</si>
  <si>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</si>
  <si>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</si>
  <si>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</si>
  <si>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</si>
  <si>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</si>
  <si>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</si>
  <si>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</si>
  <si>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</si>
  <si>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</si>
  <si>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</si>
  <si>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</si>
  <si>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</si>
  <si>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</si>
  <si>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</si>
  <si>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</si>
  <si>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</si>
  <si>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</si>
  <si>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</si>
  <si>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</si>
  <si>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</si>
  <si>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</si>
  <si>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</si>
  <si>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</si>
  <si>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</si>
  <si>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</si>
  <si>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</si>
  <si>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</si>
  <si>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</si>
  <si>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</si>
  <si>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</si>
  <si>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</si>
  <si>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</si>
  <si>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</si>
  <si>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</si>
  <si>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</si>
  <si>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</si>
  <si>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</si>
  <si>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</si>
  <si>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</si>
  <si>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</si>
  <si>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</si>
  <si>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</si>
  <si>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</si>
  <si>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</si>
  <si>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</si>
  <si>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</si>
  <si>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</si>
  <si>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</si>
  <si>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</si>
  <si>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</si>
  <si>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</si>
  <si>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</si>
  <si>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</si>
  <si>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</si>
  <si>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</si>
  <si>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</si>
  <si>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</si>
  <si>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</si>
  <si>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</si>
  <si>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</si>
  <si>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</si>
  <si>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</si>
  <si>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</si>
  <si>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</si>
  <si>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</si>
  <si>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</si>
  <si>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</si>
  <si>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</si>
  <si>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</si>
  <si>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</si>
  <si>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</si>
  <si>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</si>
  <si>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</si>
  <si>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</si>
  <si>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</si>
  <si>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</si>
  <si>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</si>
  <si>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</si>
  <si>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</si>
  <si>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</si>
  <si>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</si>
  <si>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</si>
  <si>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</si>
  <si>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</si>
  <si>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</si>
  <si>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</si>
  <si>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</si>
  <si>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</si>
  <si>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</si>
  <si>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</si>
  <si>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</si>
  <si>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</si>
  <si>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</si>
  <si>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</si>
  <si>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</si>
  <si>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</si>
  <si>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</si>
  <si>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</si>
  <si>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</si>
  <si>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</si>
  <si>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</si>
  <si>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</si>
  <si>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</si>
  <si>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</si>
  <si>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</si>
  <si>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</si>
  <si>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</si>
  <si>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</si>
  <si>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</si>
  <si>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</si>
  <si>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</si>
  <si>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</si>
  <si>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</si>
  <si>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</si>
  <si>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</si>
  <si>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</si>
  <si>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</si>
  <si>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</si>
  <si>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</si>
  <si>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</si>
  <si>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</si>
  <si>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</si>
  <si>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</si>
  <si>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</si>
  <si>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</si>
  <si>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</si>
  <si>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</si>
  <si>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</si>
  <si>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</si>
  <si>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</si>
  <si>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</si>
  <si>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</si>
  <si>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</si>
  <si>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</si>
  <si>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</si>
  <si>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</si>
  <si>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</si>
  <si>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</si>
  <si>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</si>
  <si>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</si>
  <si>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</si>
  <si>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</si>
  <si>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</si>
  <si>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</si>
  <si>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</si>
  <si>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</si>
  <si>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</si>
  <si>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</si>
  <si>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</si>
  <si>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</si>
  <si>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</si>
  <si>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</si>
  <si>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</si>
  <si>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</si>
  <si>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</si>
  <si>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</si>
  <si>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</si>
  <si>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</si>
  <si>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</si>
  <si>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</si>
  <si>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</si>
  <si>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</si>
  <si>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</si>
  <si>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</si>
  <si>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</si>
  <si>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</si>
  <si>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</si>
  <si>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</si>
  <si>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</si>
  <si>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</si>
  <si>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</si>
  <si>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</si>
  <si>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</si>
  <si>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</si>
  <si>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</si>
  <si>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</si>
  <si>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</si>
  <si>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</si>
  <si>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</si>
  <si>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</si>
  <si>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</si>
  <si>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</si>
  <si>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</si>
  <si>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</si>
  <si>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</si>
  <si>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</si>
  <si>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</si>
  <si>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</si>
  <si>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</si>
  <si>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</si>
  <si>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</si>
  <si>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</si>
  <si>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</si>
  <si>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</si>
  <si>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</si>
  <si>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</si>
  <si>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</si>
  <si>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</si>
  <si>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</si>
  <si>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</si>
  <si>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</si>
  <si>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</si>
  <si>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</si>
  <si>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</si>
  <si>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</si>
  <si>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</si>
  <si>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</si>
  <si>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</si>
  <si>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</si>
  <si>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</si>
  <si>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</si>
  <si>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</si>
  <si>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</si>
  <si>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</si>
  <si>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</si>
  <si>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</si>
  <si>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</si>
  <si>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</si>
  <si>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</si>
  <si>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</si>
  <si>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</si>
  <si>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</si>
  <si>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</si>
  <si>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</si>
  <si>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</si>
  <si>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</si>
  <si>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</si>
  <si>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</si>
  <si>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</si>
  <si>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</si>
  <si>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</si>
  <si>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</si>
  <si>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</si>
  <si>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</si>
  <si>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</si>
  <si>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</si>
  <si>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</si>
  <si>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</si>
  <si>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</si>
  <si>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</si>
  <si>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</si>
  <si>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</si>
  <si>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</si>
  <si>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</si>
  <si>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</si>
  <si>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</si>
  <si>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</si>
  <si>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</si>
  <si>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</si>
  <si>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</si>
  <si>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</si>
  <si>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</si>
  <si>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</si>
  <si>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</si>
  <si>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</si>
  <si>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</si>
  <si>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</si>
  <si>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</si>
  <si>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</si>
  <si>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</si>
  <si>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</si>
  <si>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</si>
  <si>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</si>
  <si>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</si>
  <si>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</si>
  <si>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</si>
  <si>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</si>
  <si>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</si>
  <si>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</si>
  <si>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</si>
  <si>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</si>
  <si>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</si>
  <si>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</si>
  <si>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</si>
  <si>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</si>
  <si>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</si>
  <si>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</si>
  <si>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</si>
  <si>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</si>
  <si>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</si>
  <si>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</si>
  <si>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</si>
  <si>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</si>
  <si>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</si>
  <si>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</si>
  <si>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</si>
  <si>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</si>
  <si>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</si>
  <si>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</si>
  <si>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</si>
  <si>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</si>
  <si>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</si>
  <si>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</si>
  <si>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</si>
  <si>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</si>
  <si>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</si>
  <si>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</si>
  <si>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</si>
  <si>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</si>
  <si>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</si>
  <si>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</si>
  <si>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</si>
  <si>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</si>
  <si>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</si>
  <si>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</si>
  <si>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</si>
  <si>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</si>
  <si>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</si>
  <si>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</si>
  <si>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</si>
  <si>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</si>
  <si>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</si>
  <si>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</si>
  <si>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</si>
  <si>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</si>
  <si>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</si>
  <si>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</si>
  <si>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</si>
  <si>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</si>
  <si>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</si>
  <si>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</si>
  <si>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</si>
  <si>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</si>
  <si>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</si>
  <si>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</si>
  <si>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</si>
  <si>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</si>
  <si>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</si>
  <si>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</si>
  <si>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</si>
  <si>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</si>
  <si>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</si>
  <si>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</si>
  <si>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</si>
  <si>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</si>
  <si>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</si>
  <si>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</si>
  <si>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</si>
  <si>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</si>
  <si>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</si>
  <si>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</si>
  <si>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</si>
  <si>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</si>
  <si>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</si>
  <si>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</si>
  <si>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</si>
  <si>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</si>
  <si>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</si>
  <si>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</si>
  <si>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</si>
  <si>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</si>
  <si>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</si>
  <si>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</si>
  <si>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</si>
  <si>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</si>
  <si>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</si>
  <si>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</si>
  <si>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</si>
  <si>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</si>
  <si>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</si>
  <si>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</si>
  <si>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</si>
  <si>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</si>
  <si>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</si>
  <si>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</si>
  <si>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</si>
  <si>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</si>
  <si>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</si>
  <si>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</si>
  <si>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</si>
  <si>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</si>
  <si>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</si>
  <si>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</si>
  <si>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</si>
  <si>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</si>
  <si>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</si>
  <si>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</si>
  <si>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</si>
  <si>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</si>
  <si>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</si>
  <si>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</si>
  <si>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</si>
  <si>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</si>
  <si>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</si>
  <si>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</si>
  <si>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</si>
  <si>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</si>
  <si>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</si>
  <si>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</si>
  <si>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</si>
  <si>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</si>
  <si>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</si>
  <si>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</si>
  <si>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</si>
  <si>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</si>
  <si>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</si>
  <si>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</si>
  <si>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</si>
  <si>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</si>
  <si>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</si>
  <si>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</si>
  <si>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</si>
  <si>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</si>
  <si>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</si>
  <si>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</si>
  <si>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</si>
  <si>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</si>
  <si>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</si>
  <si>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</si>
  <si>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</si>
  <si>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</si>
  <si>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</si>
  <si>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</si>
  <si>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</si>
  <si>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</si>
  <si>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</si>
  <si>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</si>
  <si>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</si>
  <si>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</si>
  <si>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</si>
  <si>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</si>
  <si>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</si>
  <si>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</si>
  <si>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</si>
  <si>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</si>
  <si>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</si>
  <si>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</si>
  <si>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</si>
  <si>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</si>
  <si>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</si>
  <si>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</si>
  <si>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</si>
  <si>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</si>
  <si>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</si>
  <si>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</si>
  <si>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</si>
  <si>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</si>
  <si>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</si>
  <si>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</si>
  <si>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</si>
  <si>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</si>
  <si>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</si>
  <si>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</si>
  <si>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</si>
  <si>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</si>
  <si>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</si>
  <si>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</si>
  <si>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</si>
  <si>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</si>
  <si>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</si>
  <si>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</si>
  <si>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</si>
  <si>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</si>
  <si>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</si>
  <si>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</si>
  <si>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</si>
  <si>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</si>
  <si>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</si>
  <si>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</si>
  <si>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</si>
  <si>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</si>
  <si>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</si>
  <si>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</si>
  <si>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</si>
  <si>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</si>
  <si>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</si>
  <si>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</si>
  <si>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</si>
  <si>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</si>
  <si>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</si>
  <si>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</si>
  <si>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</si>
  <si>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</si>
  <si>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</si>
  <si>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</si>
  <si>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</si>
  <si>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</si>
  <si>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</si>
  <si>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</si>
  <si>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</si>
  <si>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</si>
  <si>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</si>
  <si>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</si>
  <si>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</si>
  <si>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</si>
  <si>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</si>
  <si>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</si>
  <si>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</si>
  <si>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</si>
  <si>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</si>
  <si>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</si>
  <si>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</si>
  <si>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</si>
  <si>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</si>
  <si>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</si>
  <si>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</si>
  <si>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</si>
  <si>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</si>
  <si>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</si>
  <si>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</si>
  <si>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</si>
  <si>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</si>
  <si>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</si>
  <si>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</si>
  <si>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</si>
  <si>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</si>
  <si>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</si>
  <si>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</si>
  <si>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</si>
  <si>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</si>
  <si>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</si>
  <si>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</si>
  <si>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</si>
  <si>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</si>
  <si>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</si>
  <si>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</si>
  <si>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</si>
  <si>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</si>
  <si>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</si>
  <si>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</si>
  <si>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</si>
  <si>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</si>
  <si>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</si>
  <si>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</si>
  <si>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</si>
  <si>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</si>
  <si>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</si>
  <si>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</si>
  <si>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</si>
  <si>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</si>
  <si>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</si>
  <si>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</si>
  <si>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</si>
  <si>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</si>
  <si>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</si>
  <si>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</si>
  <si>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</si>
  <si>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</si>
  <si>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</si>
  <si>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</si>
  <si>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</si>
  <si>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</si>
  <si>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</si>
  <si>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</si>
  <si>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</si>
  <si>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</si>
  <si>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</si>
  <si>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</si>
  <si>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</si>
  <si>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</si>
  <si>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</si>
  <si>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</si>
  <si>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</si>
  <si>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</si>
  <si>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</si>
  <si>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</si>
  <si>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</si>
  <si>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</si>
  <si>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</si>
  <si>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</si>
  <si>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</si>
  <si>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</si>
  <si>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</si>
  <si>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</si>
  <si>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</si>
  <si>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</si>
  <si>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</si>
  <si>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</si>
  <si>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</si>
  <si>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</si>
  <si>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</si>
  <si>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</si>
  <si>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</si>
  <si>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</si>
  <si>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</si>
  <si>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</si>
  <si>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</si>
  <si>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</si>
  <si>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</si>
  <si>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</si>
  <si>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</si>
  <si>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</si>
  <si>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</si>
  <si>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</si>
  <si>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</si>
  <si>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</si>
  <si>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</si>
  <si>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</si>
  <si>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</si>
  <si>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</si>
  <si>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</si>
  <si>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</si>
  <si>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</si>
  <si>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</si>
  <si>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</si>
  <si>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</si>
  <si>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</si>
  <si>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</si>
  <si>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</si>
  <si>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</si>
  <si>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</si>
  <si>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</si>
  <si>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</si>
  <si>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</si>
  <si>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</si>
  <si>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</si>
  <si>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</si>
  <si>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</si>
  <si>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</si>
  <si>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</si>
  <si>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</si>
  <si>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</si>
  <si>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</si>
  <si>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</si>
  <si>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</si>
  <si>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</si>
  <si>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</si>
  <si>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</si>
  <si>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</si>
  <si>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</si>
  <si>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</si>
  <si>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</si>
  <si>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</si>
  <si>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</si>
  <si>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</si>
  <si>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</si>
  <si>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</si>
  <si>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</si>
  <si>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</si>
  <si>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</si>
  <si>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</si>
  <si>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</si>
  <si>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</si>
  <si>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</si>
  <si>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</si>
  <si>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</si>
  <si>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</si>
  <si>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</si>
  <si>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</si>
  <si>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</si>
  <si>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</si>
  <si>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</si>
  <si>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</si>
  <si>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</si>
  <si>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</si>
  <si>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</si>
  <si>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</si>
  <si>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</si>
  <si>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</si>
  <si>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</si>
  <si>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</si>
  <si>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</si>
  <si>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</si>
  <si>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</si>
  <si>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</si>
  <si>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</si>
  <si>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</si>
  <si>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</si>
  <si>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</si>
  <si>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</si>
  <si>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</si>
  <si>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</si>
  <si>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</si>
  <si>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</si>
  <si>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</si>
  <si>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</si>
  <si>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</si>
  <si>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</si>
  <si>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</si>
  <si>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</si>
  <si>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</si>
  <si>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</si>
  <si>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</si>
  <si>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</si>
  <si>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</si>
  <si>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</si>
  <si>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</si>
  <si>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</si>
  <si>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</si>
  <si>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</si>
  <si>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</si>
  <si>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</si>
  <si>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</si>
  <si>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</si>
  <si>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</si>
  <si>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</si>
  <si>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</si>
  <si>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</si>
  <si>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</si>
  <si>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</si>
  <si>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</si>
  <si>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</si>
  <si>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</si>
  <si>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</si>
  <si>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</si>
  <si>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</si>
  <si>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</si>
  <si>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</si>
  <si>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</si>
  <si>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</si>
  <si>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</si>
  <si>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</si>
  <si>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</si>
  <si>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</si>
  <si>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</si>
  <si>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</si>
  <si>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</si>
  <si>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</si>
  <si>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</si>
  <si>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</si>
  <si>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</si>
  <si>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</si>
  <si>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</si>
  <si>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</si>
  <si>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</si>
  <si>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</si>
  <si>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</si>
  <si>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</si>
  <si>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</si>
  <si>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</si>
  <si>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</si>
  <si>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</si>
  <si>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</si>
  <si>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</si>
  <si>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</si>
  <si>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</si>
  <si>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</si>
  <si>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</si>
  <si>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</si>
  <si>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</si>
  <si>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</si>
  <si>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</si>
  <si>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</si>
  <si>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</si>
  <si>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</si>
  <si>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</si>
  <si>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</si>
  <si>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</si>
  <si>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</si>
  <si>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</si>
  <si>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</si>
  <si>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</si>
  <si>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</si>
  <si>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</si>
  <si>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</si>
  <si>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</si>
  <si>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</si>
  <si>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</si>
  <si>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</si>
  <si>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</si>
  <si>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</si>
  <si>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</si>
  <si>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</si>
  <si>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</si>
  <si>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</si>
  <si>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</si>
  <si>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</si>
  <si>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</si>
  <si>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</si>
  <si>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</si>
  <si>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</si>
  <si>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</si>
  <si>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</si>
  <si>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</si>
  <si>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</si>
  <si>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</si>
  <si>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</si>
  <si>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</si>
  <si>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</si>
  <si>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</si>
  <si>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</si>
  <si>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</si>
  <si>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</si>
  <si>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</si>
  <si>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</si>
  <si>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</si>
  <si>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</si>
  <si>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</si>
  <si>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</si>
  <si>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</si>
  <si>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</si>
  <si>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</si>
  <si>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</si>
  <si>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</si>
  <si>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</si>
  <si>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</si>
  <si>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</si>
  <si>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</si>
  <si>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</si>
  <si>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</si>
  <si>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</si>
  <si>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</si>
  <si>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</si>
  <si>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</si>
  <si>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</si>
  <si>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</si>
  <si>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</si>
  <si>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</si>
  <si>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</si>
  <si>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</si>
  <si>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</si>
  <si>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</si>
  <si>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</si>
  <si>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</si>
  <si>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</si>
  <si>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</si>
  <si>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</si>
  <si>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</si>
  <si>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</si>
  <si>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</si>
  <si>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</si>
  <si>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</si>
  <si>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</si>
  <si>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</si>
  <si>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</si>
  <si>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</si>
  <si>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</si>
  <si>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</si>
  <si>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</si>
  <si>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</si>
  <si>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</si>
  <si>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</si>
  <si>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</si>
  <si>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</si>
  <si>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</si>
  <si>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</si>
  <si>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</si>
  <si>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</si>
  <si>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</si>
  <si>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</si>
  <si>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</si>
  <si>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</si>
  <si>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</si>
  <si>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</si>
  <si>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</si>
  <si>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</si>
  <si>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</si>
  <si>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</si>
  <si>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</si>
  <si>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</si>
  <si>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</si>
  <si>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</si>
  <si>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</si>
  <si>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</si>
  <si>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</si>
  <si>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</si>
  <si>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</si>
  <si>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</si>
  <si>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</si>
  <si>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</si>
  <si>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</si>
  <si>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</si>
  <si>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</si>
  <si>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</si>
  <si>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</si>
  <si>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</si>
  <si>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</si>
  <si>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</si>
  <si>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</si>
  <si>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</si>
  <si>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</si>
  <si>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</si>
  <si>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</si>
  <si>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</si>
  <si>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</si>
  <si>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</si>
  <si>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</si>
  <si>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</si>
  <si>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</si>
  <si>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</si>
  <si>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</si>
  <si>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</si>
  <si>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</si>
  <si>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</si>
  <si>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</si>
  <si>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</si>
  <si>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</si>
  <si>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</si>
  <si>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</si>
  <si>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</si>
  <si>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</si>
  <si>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</si>
  <si>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</si>
  <si>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</si>
  <si>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</si>
  <si>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</si>
  <si>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</si>
  <si>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</si>
  <si>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</si>
  <si>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</si>
  <si>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</si>
  <si>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</si>
  <si>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</si>
  <si>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</si>
  <si>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</si>
  <si>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</si>
  <si>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</si>
  <si>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</si>
  <si>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</si>
  <si>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</si>
  <si>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</si>
  <si>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</si>
  <si>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</si>
  <si>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</si>
  <si>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</si>
  <si>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</si>
  <si>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</si>
  <si>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</si>
  <si>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</si>
  <si>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</si>
  <si>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</si>
  <si>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</si>
  <si>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</si>
  <si>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</si>
  <si>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</si>
  <si>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</si>
  <si>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</si>
  <si>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</si>
  <si>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</si>
  <si>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</si>
  <si>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</si>
  <si>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</si>
  <si>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</si>
  <si>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</si>
  <si>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</si>
  <si>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</si>
  <si>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</si>
  <si>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</si>
  <si>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</si>
  <si>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</si>
  <si>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</si>
  <si>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</si>
  <si>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</si>
  <si>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</si>
  <si>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</si>
  <si>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</si>
  <si>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</si>
  <si>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</si>
  <si>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</si>
  <si>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</si>
  <si>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</si>
  <si>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</si>
  <si>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</si>
  <si>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</si>
  <si>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</si>
  <si>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</si>
  <si>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</si>
  <si>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</si>
  <si>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</si>
  <si>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</si>
  <si>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</si>
  <si>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</si>
  <si>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</si>
  <si>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</si>
  <si>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</si>
  <si>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</si>
  <si>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</si>
  <si>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</si>
  <si>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</si>
  <si>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</si>
  <si>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</si>
  <si>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</si>
  <si>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</si>
  <si>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</si>
  <si>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</si>
  <si>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</si>
  <si>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</si>
  <si>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</si>
  <si>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</si>
  <si>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</si>
  <si>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</si>
  <si>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</si>
  <si>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</si>
  <si>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</si>
  <si>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</si>
  <si>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</si>
  <si>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</si>
  <si>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</si>
  <si>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</si>
  <si>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</si>
  <si>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</si>
  <si>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</si>
  <si>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</si>
  <si>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</si>
  <si>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</si>
  <si>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</si>
  <si>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</si>
  <si>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</si>
  <si>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</si>
  <si>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</si>
  <si>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</si>
  <si>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</si>
  <si>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</si>
  <si>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</si>
  <si>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</si>
  <si>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</si>
  <si>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</si>
  <si>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</si>
  <si>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</si>
  <si>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</si>
  <si>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</si>
  <si>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</si>
  <si>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</si>
  <si>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</si>
  <si>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</si>
  <si>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</si>
  <si>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</si>
  <si>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</si>
  <si>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</si>
  <si>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</si>
  <si>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</si>
  <si>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</si>
  <si>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</si>
  <si>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</si>
  <si>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</si>
  <si>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</si>
  <si>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</si>
  <si>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</si>
  <si>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</si>
  <si>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</si>
  <si>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</si>
  <si>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</si>
  <si>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</si>
  <si>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</si>
  <si>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</si>
  <si>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</si>
  <si>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</si>
  <si>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</si>
  <si>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</si>
  <si>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</si>
  <si>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</si>
  <si>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</si>
  <si>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</si>
  <si>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</si>
  <si>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</si>
  <si>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</si>
  <si>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</si>
  <si>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</si>
  <si>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</si>
  <si>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</si>
  <si>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</si>
  <si>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</si>
  <si>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</si>
  <si>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</si>
  <si>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</si>
  <si>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</si>
  <si>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</si>
  <si>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</si>
  <si>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</si>
  <si>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</si>
  <si>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</si>
  <si>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</si>
  <si>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</si>
  <si>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</si>
  <si>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</si>
  <si>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</si>
  <si>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</si>
  <si>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</si>
  <si>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</si>
  <si>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</si>
  <si>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</si>
  <si>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</si>
  <si>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</si>
  <si>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</si>
  <si>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</si>
  <si>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</si>
  <si>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</si>
  <si>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</si>
  <si>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</si>
  <si>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</si>
  <si>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</si>
  <si>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</si>
  <si>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</si>
  <si>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</si>
  <si>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</si>
  <si>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</si>
  <si>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</si>
  <si>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</si>
  <si>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</si>
  <si>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</si>
  <si>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</si>
  <si>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</si>
  <si>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</si>
  <si>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</si>
  <si>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</si>
  <si>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</si>
  <si>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</si>
  <si>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</si>
  <si>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</si>
  <si>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</si>
  <si>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</si>
  <si>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</si>
  <si>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</si>
  <si>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</si>
  <si>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</si>
  <si>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</si>
  <si>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</si>
  <si>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</si>
  <si>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</si>
  <si>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</si>
  <si>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</si>
  <si>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</si>
  <si>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</si>
  <si>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</si>
  <si>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</si>
  <si>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</si>
  <si>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</si>
  <si>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</si>
  <si>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</si>
  <si>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</si>
  <si>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</si>
  <si>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</si>
  <si>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</si>
  <si>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</si>
  <si>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</si>
  <si>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</si>
  <si>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</si>
  <si>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</si>
  <si>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</si>
  <si>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</si>
  <si>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</si>
  <si>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</si>
  <si>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</si>
  <si>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</si>
  <si>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</si>
  <si>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</si>
  <si>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</si>
  <si>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</si>
  <si>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</si>
  <si>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</si>
  <si>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</si>
  <si>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</si>
  <si>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</si>
  <si>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</si>
  <si>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</si>
  <si>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</si>
  <si>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</si>
  <si>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</si>
  <si>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</si>
  <si>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</si>
  <si>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</si>
  <si>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</si>
  <si>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</si>
  <si>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</si>
  <si>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</si>
  <si>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</si>
  <si>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</si>
  <si>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</si>
  <si>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</si>
  <si>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</si>
  <si>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</si>
  <si>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</si>
  <si>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</si>
  <si>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</si>
  <si>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</si>
  <si>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</si>
  <si>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</si>
  <si>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</si>
  <si>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</si>
  <si>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</si>
  <si>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</si>
  <si>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</si>
  <si>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</si>
  <si>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</si>
  <si>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</si>
  <si>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</si>
  <si>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</si>
  <si>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</si>
  <si>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</si>
  <si>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</si>
  <si>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</si>
  <si>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</si>
  <si>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</si>
  <si>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</si>
  <si>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</si>
  <si>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</si>
  <si>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</si>
  <si>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</si>
  <si>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</si>
  <si>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</si>
  <si>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</si>
  <si>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</si>
  <si>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</si>
  <si>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</si>
  <si>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</si>
  <si>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</si>
  <si>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</si>
  <si>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</si>
  <si>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</si>
  <si>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</si>
  <si>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</si>
  <si>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</si>
  <si>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</si>
  <si>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</si>
  <si>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</si>
  <si>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</si>
  <si>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</si>
  <si>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</si>
  <si>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</si>
  <si>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</si>
  <si>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</si>
  <si>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</si>
  <si>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</si>
  <si>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</si>
  <si>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</si>
  <si>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</si>
  <si>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</si>
  <si>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</si>
  <si>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</si>
  <si>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</si>
  <si>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</si>
  <si>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</si>
  <si>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</si>
  <si>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</si>
  <si>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</si>
  <si>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</si>
  <si>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</si>
  <si>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</si>
  <si>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</si>
  <si>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</si>
  <si>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</si>
  <si>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</si>
  <si>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</si>
  <si>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</si>
  <si>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</si>
  <si>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</si>
  <si>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</si>
  <si>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</si>
  <si>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</si>
  <si>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</si>
  <si>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</si>
  <si>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</si>
  <si>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</si>
  <si>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</si>
  <si>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</si>
  <si>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</si>
  <si>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</si>
  <si>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</si>
  <si>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</si>
  <si>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</si>
  <si>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</si>
  <si>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</si>
  <si>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</si>
  <si>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</si>
  <si>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</si>
  <si>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</si>
  <si>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</si>
  <si>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</si>
  <si>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</si>
  <si>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</si>
  <si>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</si>
  <si>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</si>
  <si>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</si>
  <si>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</si>
  <si>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</si>
  <si>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</si>
  <si>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</si>
  <si>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</si>
  <si>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</si>
  <si>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</si>
  <si>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</si>
  <si>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</si>
  <si>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</si>
  <si>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</si>
  <si>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</si>
  <si>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</si>
  <si>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</si>
  <si>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</si>
  <si>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</si>
  <si>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</si>
  <si>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</si>
  <si>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</si>
  <si>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</si>
  <si>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</si>
  <si>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</si>
  <si>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</si>
  <si>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</si>
  <si>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</si>
  <si>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</si>
  <si>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</si>
  <si>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</si>
  <si>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</si>
  <si>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</si>
  <si>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</si>
  <si>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</si>
  <si>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</si>
  <si>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</si>
  <si>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</si>
  <si>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</si>
  <si>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</si>
  <si>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</si>
  <si>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</si>
  <si>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</si>
  <si>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</si>
  <si>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</si>
  <si>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</si>
  <si>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</si>
  <si>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</si>
  <si>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</si>
  <si>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</si>
  <si>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</si>
  <si>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</si>
  <si>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</si>
  <si>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</si>
  <si>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</si>
  <si>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</si>
  <si>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</si>
  <si>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</si>
  <si>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</si>
  <si>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</si>
  <si>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</si>
  <si>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</si>
  <si>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</si>
  <si>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</si>
  <si>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</si>
  <si>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</si>
  <si>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</si>
  <si>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</si>
  <si>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</si>
  <si>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</si>
  <si>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</si>
  <si>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</si>
  <si>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</si>
  <si>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</si>
  <si>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</si>
  <si>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</si>
  <si>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</si>
  <si>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</si>
  <si>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</si>
  <si>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</si>
  <si>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</si>
  <si>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</si>
  <si>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</si>
  <si>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</si>
  <si>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</si>
  <si>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</si>
  <si>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</si>
  <si>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</si>
  <si>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</si>
  <si>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</si>
  <si>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</si>
  <si>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</si>
  <si>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</si>
  <si>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</si>
  <si>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</si>
  <si>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</si>
  <si>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</si>
  <si>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</si>
  <si>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</si>
  <si>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</si>
  <si>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</si>
  <si>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</si>
  <si>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</si>
  <si>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</si>
  <si>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</si>
  <si>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</si>
  <si>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</si>
  <si>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</si>
  <si>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</si>
  <si>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</si>
  <si>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</si>
  <si>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</si>
  <si>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</si>
  <si>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</si>
  <si>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</si>
  <si>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</si>
  <si>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</si>
  <si>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</si>
  <si>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</si>
  <si>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</si>
  <si>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</si>
  <si>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</si>
  <si>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</si>
  <si>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</si>
  <si>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</si>
  <si>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</si>
  <si>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</si>
  <si>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</si>
  <si>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</si>
  <si>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</si>
  <si>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</si>
  <si>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</si>
  <si>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</si>
  <si>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</si>
  <si>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</si>
  <si>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</si>
  <si>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</si>
  <si>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</si>
  <si>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</si>
  <si>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</si>
  <si>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</si>
  <si>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</si>
  <si>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</si>
  <si>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</si>
  <si>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</si>
  <si>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</si>
  <si>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</si>
  <si>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</si>
  <si>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</si>
  <si>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</si>
  <si>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</si>
  <si>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</si>
  <si>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</si>
  <si>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</si>
  <si>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</si>
  <si>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</si>
  <si>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</si>
  <si>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</si>
  <si>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</si>
  <si>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</si>
  <si>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</si>
  <si>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</si>
  <si>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</si>
  <si>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</si>
  <si>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</si>
  <si>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</si>
  <si>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</si>
  <si>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</si>
  <si>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</si>
  <si>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</si>
  <si>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</si>
  <si>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</si>
  <si>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</si>
  <si>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</si>
  <si>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</si>
  <si>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</si>
  <si>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</si>
  <si>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</si>
  <si>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</si>
  <si>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</si>
  <si>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</si>
  <si>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</si>
  <si>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</si>
  <si>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</si>
  <si>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</si>
  <si>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</si>
  <si>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</si>
  <si>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</si>
  <si>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</si>
  <si>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</si>
  <si>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</si>
  <si>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</si>
  <si>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</si>
  <si>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</si>
  <si>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</si>
  <si>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</si>
  <si>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</si>
  <si>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</si>
  <si>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</si>
  <si>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</si>
  <si>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</si>
  <si>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</si>
  <si>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</si>
  <si>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</si>
  <si>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</si>
  <si>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</si>
  <si>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</si>
  <si>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</si>
  <si>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</si>
  <si>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</si>
  <si>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</si>
  <si>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</si>
  <si>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</si>
  <si>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</si>
  <si>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</si>
  <si>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</si>
  <si>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</si>
  <si>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</si>
  <si>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</si>
  <si>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</si>
  <si>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</si>
  <si>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</si>
  <si>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</si>
  <si>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</si>
  <si>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</si>
  <si>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</si>
  <si>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</si>
  <si>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</si>
  <si>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</si>
  <si>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</si>
  <si>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</si>
  <si>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</si>
  <si>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</si>
  <si>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Orders</t>
  </si>
  <si>
    <t>Count of TX ID</t>
  </si>
  <si>
    <t>Sum of Quantity</t>
  </si>
  <si>
    <t>Sum of Amount</t>
  </si>
  <si>
    <t>Average of Rating C</t>
  </si>
  <si>
    <t>Average of Days to Deliver</t>
  </si>
  <si>
    <t>Qty</t>
  </si>
  <si>
    <t>Avg Rating</t>
  </si>
  <si>
    <t>Avg Days</t>
  </si>
  <si>
    <t>Row Labels</t>
  </si>
  <si>
    <t>Grand Total</t>
  </si>
  <si>
    <t>Column Labels</t>
  </si>
  <si>
    <t>Female</t>
  </si>
  <si>
    <t>Male</t>
  </si>
  <si>
    <t>Other</t>
  </si>
  <si>
    <t>Unknown</t>
  </si>
  <si>
    <t>For Matrix</t>
  </si>
  <si>
    <t>More than 10</t>
  </si>
  <si>
    <t>6</t>
  </si>
  <si>
    <t>7</t>
  </si>
  <si>
    <t>8</t>
  </si>
  <si>
    <t>9</t>
  </si>
  <si>
    <t>10</t>
  </si>
  <si>
    <t>California Total</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</si>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</sst>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7" formatCode="0.0"/>
    <numFmt numFmtId="171" formatCode="&quot;$&quot;#,##0"/>
    <numFmt numFmtId="173" formatCode="0.0%"/>
  </numFmts>
  <fonts count="6">
    <font>
      <sz val="11"/>
      <color theme="1"/>
      <name val="Aptos Narrow"/>
      <family val="2"/>
      <scheme val="minor"/>
    </font>
    <font>
      <b/>
      <sz val="11"/>
      <color theme="1"/>
      <name val="Aptos Narrow"/>
      <family val="2"/>
      <scheme val="minor"/>
    </font>
    <font>
      <b/>
      <sz val="12"/>
      <color theme="1"/>
      <name val="Aptos Narrow"/>
      <scheme val="minor"/>
    </font>
    <font>
      <sz val="11"/>
      <color theme="1"/>
      <name val="Aptos Narrow"/>
      <scheme val="minor"/>
    </font>
    <font>
      <b/>
      <sz val="14"/>
      <color theme="1"/>
      <name val="Aptos Narrow"/>
      <scheme val="minor"/>
    </font>
    <font>
      <sz val="11"/>
      <color rgb="FF0070C0"/>
      <name val="Aptos Narrow"/>
      <family val="2"/>
      <scheme val="minor"/>
    </font>
  </fonts>
  <fills count="5">
    <fill>
      <patternFill patternType="none"/>
    </fill>
    <fill>
      <patternFill patternType="gray125"/>
    </fill>
    <fill>
      <patternFill patternType="solid">
        <fgColor theme="9"/>
        <bgColor indexed="64"/>
      </patternFill>
    </fill>
    <fill>
      <patternFill patternType="solid">
        <fgColor theme="4" tint="0.79998168889431442"/>
        <bgColor theme="4" tint="0.79998168889431442"/>
      </patternFill>
    </fill>
    <fill>
      <patternFill patternType="solid">
        <fgColor theme="3" tint="9.9978637043366805E-2"/>
        <bgColor indexed="64"/>
      </patternFill>
    </fill>
  </fills>
  <borders count="17">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
      <left/>
      <right/>
      <top/>
      <bottom style="thin">
        <color theme="4" tint="0.3999755851924192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33">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applyNumberFormat="1"/>
    <xf numFmtId="0" fontId="1" fillId="3" borderId="10" xfId="0" applyFont="1" applyFill="1" applyBorder="1"/>
    <xf numFmtId="2" fontId="0" fillId="0" borderId="0" xfId="0" applyNumberFormat="1"/>
    <xf numFmtId="167" fontId="0" fillId="0" borderId="0" xfId="0" applyNumberFormat="1"/>
    <xf numFmtId="0" fontId="0" fillId="0" borderId="0" xfId="0" pivotButton="1"/>
    <xf numFmtId="0" fontId="0" fillId="0" borderId="0" xfId="0" applyAlignment="1">
      <alignment horizontal="left"/>
    </xf>
    <xf numFmtId="171" fontId="0" fillId="0" borderId="0" xfId="0" applyNumberFormat="1"/>
    <xf numFmtId="10" fontId="0" fillId="0" borderId="0" xfId="0" applyNumberFormat="1"/>
    <xf numFmtId="173" fontId="0" fillId="0" borderId="15" xfId="0" applyNumberFormat="1" applyBorder="1"/>
    <xf numFmtId="173" fontId="0" fillId="0" borderId="16" xfId="0" applyNumberFormat="1" applyBorder="1"/>
    <xf numFmtId="0" fontId="2" fillId="0" borderId="14" xfId="0" applyFont="1" applyBorder="1"/>
    <xf numFmtId="0" fontId="3" fillId="0" borderId="11" xfId="0" applyFont="1" applyBorder="1"/>
    <xf numFmtId="0" fontId="4" fillId="0" borderId="12" xfId="0" applyFont="1" applyBorder="1"/>
    <xf numFmtId="0" fontId="4" fillId="0" borderId="13" xfId="0" applyFont="1" applyBorder="1"/>
    <xf numFmtId="0" fontId="1" fillId="0" borderId="0" xfId="0" applyFont="1"/>
    <xf numFmtId="0" fontId="1" fillId="0" borderId="10" xfId="0" applyFont="1" applyBorder="1"/>
    <xf numFmtId="0" fontId="5" fillId="0" borderId="0" xfId="0" applyFont="1"/>
    <xf numFmtId="0" fontId="5" fillId="4" borderId="0" xfId="0" applyFont="1" applyFill="1"/>
    <xf numFmtId="0" fontId="0" fillId="4" borderId="0" xfId="0" applyFill="1"/>
  </cellXfs>
  <cellStyles count="1">
    <cellStyle name="Normal" xfId="0" builtinId="0"/>
  </cellStyles>
  <dxfs count="9">
    <dxf>
      <numFmt numFmtId="1" formatCode="0"/>
    </dxf>
    <dxf>
      <numFmt numFmtId="171" formatCode="&quot;$&quot;#,##0"/>
    </dxf>
    <dxf>
      <numFmt numFmtId="167" formatCode="0.0"/>
    </dxf>
    <dxf>
      <numFmt numFmtId="2" formatCode="0.00"/>
    </dxf>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Sheet5!$A$4:$A$15</c:f>
              <c:strCache>
                <c:ptCount val="11"/>
                <c:pt idx="0">
                  <c:v>1</c:v>
                </c:pt>
                <c:pt idx="1">
                  <c:v>2</c:v>
                </c:pt>
                <c:pt idx="2">
                  <c:v>3</c:v>
                </c:pt>
                <c:pt idx="3">
                  <c:v>4</c:v>
                </c:pt>
                <c:pt idx="4">
                  <c:v>5</c:v>
                </c:pt>
                <c:pt idx="5">
                  <c:v>6</c:v>
                </c:pt>
                <c:pt idx="6">
                  <c:v>7</c:v>
                </c:pt>
                <c:pt idx="7">
                  <c:v>8</c:v>
                </c:pt>
                <c:pt idx="8">
                  <c:v>9</c:v>
                </c:pt>
                <c:pt idx="9">
                  <c:v>10</c:v>
                </c:pt>
                <c:pt idx="10">
                  <c:v>More than 10</c:v>
                </c:pt>
              </c:strCache>
            </c:strRef>
          </c:cat>
          <c:val>
            <c:numRef>
              <c:f>Sheet5!$B$4:$B$15</c:f>
              <c:numCache>
                <c:formatCode>General</c:formatCode>
                <c:ptCount val="11"/>
                <c:pt idx="0">
                  <c:v>397</c:v>
                </c:pt>
                <c:pt idx="1">
                  <c:v>540</c:v>
                </c:pt>
                <c:pt idx="2">
                  <c:v>375</c:v>
                </c:pt>
                <c:pt idx="3">
                  <c:v>246</c:v>
                </c:pt>
                <c:pt idx="4">
                  <c:v>195</c:v>
                </c:pt>
                <c:pt idx="5">
                  <c:v>122</c:v>
                </c:pt>
                <c:pt idx="6">
                  <c:v>114</c:v>
                </c:pt>
                <c:pt idx="7">
                  <c:v>73</c:v>
                </c:pt>
                <c:pt idx="8">
                  <c:v>52</c:v>
                </c:pt>
                <c:pt idx="9">
                  <c:v>53</c:v>
                </c:pt>
                <c:pt idx="10">
                  <c:v>233</c:v>
                </c:pt>
              </c:numCache>
            </c:numRef>
          </c:val>
          <c:extLst>
            <c:ext xmlns:c16="http://schemas.microsoft.com/office/drawing/2014/chart" uri="{C3380CC4-5D6E-409C-BE32-E72D297353CC}">
              <c16:uniqueId val="{00000000-CFBE-4168-B00A-2B6E2F2DC263}"/>
            </c:ext>
          </c:extLst>
        </c:ser>
        <c:dLbls>
          <c:showLegendKey val="0"/>
          <c:showVal val="0"/>
          <c:showCatName val="0"/>
          <c:showSerName val="0"/>
          <c:showPercent val="0"/>
          <c:showBubbleSize val="0"/>
        </c:dLbls>
        <c:gapWidth val="219"/>
        <c:overlap val="-27"/>
        <c:axId val="1364231872"/>
        <c:axId val="1364227712"/>
      </c:barChart>
      <c:catAx>
        <c:axId val="136423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227712"/>
        <c:crosses val="autoZero"/>
        <c:auto val="1"/>
        <c:lblAlgn val="ctr"/>
        <c:lblOffset val="100"/>
        <c:noMultiLvlLbl val="0"/>
      </c:catAx>
      <c:valAx>
        <c:axId val="136422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423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Trend in the last 13 weeks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1"/>
          <c:tx>
            <c:strRef>
              <c:f>Pivot!$C$13</c:f>
              <c:strCache>
                <c:ptCount val="1"/>
                <c:pt idx="0">
                  <c:v>Sum of Quantity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Pivot!$C$14:$C$27</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1-FB8B-4AEE-A798-5CD659556182}"/>
            </c:ext>
          </c:extLst>
        </c:ser>
        <c:dLbls>
          <c:showLegendKey val="0"/>
          <c:showVal val="0"/>
          <c:showCatName val="0"/>
          <c:showSerName val="0"/>
          <c:showPercent val="0"/>
          <c:showBubbleSize val="0"/>
        </c:dLbls>
        <c:marker val="1"/>
        <c:smooth val="0"/>
        <c:axId val="1262213856"/>
        <c:axId val="1262211776"/>
      </c:lineChart>
      <c:lineChart>
        <c:grouping val="stacked"/>
        <c:varyColors val="0"/>
        <c:ser>
          <c:idx val="0"/>
          <c:order val="0"/>
          <c:tx>
            <c:strRef>
              <c:f>Pivot!$B$13</c:f>
              <c:strCache>
                <c:ptCount val="1"/>
                <c:pt idx="0">
                  <c:v>Sum of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Pivot!$A$14:$A$27</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Pivot!$B$14:$B$27</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0-FB8B-4AEE-A798-5CD659556182}"/>
            </c:ext>
          </c:extLst>
        </c:ser>
        <c:dLbls>
          <c:showLegendKey val="0"/>
          <c:showVal val="0"/>
          <c:showCatName val="0"/>
          <c:showSerName val="0"/>
          <c:showPercent val="0"/>
          <c:showBubbleSize val="0"/>
        </c:dLbls>
        <c:marker val="1"/>
        <c:smooth val="0"/>
        <c:axId val="1154993104"/>
        <c:axId val="1154988528"/>
      </c:lineChart>
      <c:catAx>
        <c:axId val="126221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11776"/>
        <c:crosses val="autoZero"/>
        <c:auto val="1"/>
        <c:lblAlgn val="ctr"/>
        <c:lblOffset val="100"/>
        <c:noMultiLvlLbl val="0"/>
      </c:catAx>
      <c:valAx>
        <c:axId val="126221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213856"/>
        <c:crosses val="autoZero"/>
        <c:crossBetween val="between"/>
      </c:valAx>
      <c:valAx>
        <c:axId val="1154988528"/>
        <c:scaling>
          <c:orientation val="minMax"/>
        </c:scaling>
        <c:delete val="0"/>
        <c:axPos val="r"/>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4993104"/>
        <c:crosses val="max"/>
        <c:crossBetween val="between"/>
      </c:valAx>
      <c:catAx>
        <c:axId val="1154993104"/>
        <c:scaling>
          <c:orientation val="minMax"/>
        </c:scaling>
        <c:delete val="1"/>
        <c:axPos val="b"/>
        <c:numFmt formatCode="General" sourceLinked="1"/>
        <c:majorTickMark val="none"/>
        <c:minorTickMark val="none"/>
        <c:tickLblPos val="nextTo"/>
        <c:crossAx val="1154988528"/>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[ecommerce-blank.xlsx]Sheet5!PivotTable6</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How</a:t>
            </a:r>
            <a:r>
              <a:rPr lang="en-US" baseline="0"/>
              <a:t> Many they Buy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4">
                <a:lumMod val="75000"/>
              </a:schemeClr>
            </a:solidFill>
            <a:ln>
              <a:noFill/>
            </a:ln>
            <a:effectLst/>
          </c:spPr>
          <c:invertIfNegative val="0"/>
          <c:cat>
            <c:strRef>
              <c:f>Sheet5!$A$4:$A$15</c:f>
              <c:strCache>
                <c:ptCount val="11"/>
                <c:pt idx="0">
                  <c:v>1</c:v>
                </c:pt>
                <c:pt idx="1">
                  <c:v>2</c:v>
                </c:pt>
                <c:pt idx="2">
                  <c:v>3</c:v>
                </c:pt>
                <c:pt idx="3">
                  <c:v>4</c:v>
                </c:pt>
                <c:pt idx="4">
                  <c:v>5</c:v>
                </c:pt>
                <c:pt idx="5">
                  <c:v>6</c:v>
                </c:pt>
                <c:pt idx="6">
                  <c:v>7</c:v>
                </c:pt>
                <c:pt idx="7">
                  <c:v>8</c:v>
                </c:pt>
                <c:pt idx="8">
                  <c:v>9</c:v>
                </c:pt>
                <c:pt idx="9">
                  <c:v>10</c:v>
                </c:pt>
                <c:pt idx="10">
                  <c:v>More than 10</c:v>
                </c:pt>
              </c:strCache>
            </c:strRef>
          </c:cat>
          <c:val>
            <c:numRef>
              <c:f>Sheet5!$B$4:$B$15</c:f>
              <c:numCache>
                <c:formatCode>General</c:formatCode>
                <c:ptCount val="11"/>
                <c:pt idx="0">
                  <c:v>397</c:v>
                </c:pt>
                <c:pt idx="1">
                  <c:v>540</c:v>
                </c:pt>
                <c:pt idx="2">
                  <c:v>375</c:v>
                </c:pt>
                <c:pt idx="3">
                  <c:v>246</c:v>
                </c:pt>
                <c:pt idx="4">
                  <c:v>195</c:v>
                </c:pt>
                <c:pt idx="5">
                  <c:v>122</c:v>
                </c:pt>
                <c:pt idx="6">
                  <c:v>114</c:v>
                </c:pt>
                <c:pt idx="7">
                  <c:v>73</c:v>
                </c:pt>
                <c:pt idx="8">
                  <c:v>52</c:v>
                </c:pt>
                <c:pt idx="9">
                  <c:v>53</c:v>
                </c:pt>
                <c:pt idx="10">
                  <c:v>233</c:v>
                </c:pt>
              </c:numCache>
            </c:numRef>
          </c:val>
          <c:extLst>
            <c:ext xmlns:c16="http://schemas.microsoft.com/office/drawing/2014/chart" uri="{C3380CC4-5D6E-409C-BE32-E72D297353CC}">
              <c16:uniqueId val="{00000000-4C86-411C-AA76-FBDCEFA2C444}"/>
            </c:ext>
          </c:extLst>
        </c:ser>
        <c:dLbls>
          <c:showLegendKey val="0"/>
          <c:showVal val="0"/>
          <c:showCatName val="0"/>
          <c:showSerName val="0"/>
          <c:showPercent val="0"/>
          <c:showBubbleSize val="0"/>
        </c:dLbls>
        <c:gapWidth val="219"/>
        <c:axId val="1364274304"/>
        <c:axId val="1364273056"/>
      </c:barChart>
      <c:catAx>
        <c:axId val="136427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64273056"/>
        <c:crosses val="autoZero"/>
        <c:auto val="1"/>
        <c:lblAlgn val="ctr"/>
        <c:lblOffset val="100"/>
        <c:noMultiLvlLbl val="0"/>
      </c:catAx>
      <c:valAx>
        <c:axId val="136427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6427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[ecommerce-blank.xlsx]Sheet5!PivotTable7</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Which</a:t>
            </a:r>
            <a:r>
              <a:rPr lang="en-US" baseline="0"/>
              <a:t> Products are Populars</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Sheet5!$B$28:$B$29</c:f>
              <c:strCache>
                <c:ptCount val="1"/>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Sheet5!$A$30:$A$50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Sheet5!$B$30:$B$50</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0-50F5-4DC5-BDA6-7BC46FDEE6EE}"/>
            </c:ext>
          </c:extLst>
        </c:ser>
        <c:ser>
          <c:idx val="1"/>
          <c:order val="1"/>
          <c:tx>
            <c:strRef>
              <c:f>Sheet5!$C$28:$C$29</c:f>
              <c:strCache>
                <c:ptCount val="1"/>
                <c:pt idx="0">
                  <c:v>F</c:v>
                </c:pt>
              </c:strCache>
            </c:strRef>
          </c:tx>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invertIfNegative val="0"/>
          <c:cat>
            <c:strRef>
              <c:f>Sheet5!$A$30:$A$50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Sheet5!$C$30:$C$50</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1-50F5-4DC5-BDA6-7BC46FDEE6EE}"/>
            </c:ext>
          </c:extLst>
        </c:ser>
        <c:ser>
          <c:idx val="2"/>
          <c:order val="2"/>
          <c:tx>
            <c:strRef>
              <c:f>Sheet5!$D$28:$D$29</c:f>
              <c:strCache>
                <c:ptCount val="1"/>
                <c:pt idx="0">
                  <c:v>M</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Sheet5!$A$30:$A$50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Sheet5!$D$30:$D$50</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2-50F5-4DC5-BDA6-7BC46FDEE6EE}"/>
            </c:ext>
          </c:extLst>
        </c:ser>
        <c:ser>
          <c:idx val="3"/>
          <c:order val="3"/>
          <c:tx>
            <c:strRef>
              <c:f>Sheet5!$E$28:$E$29</c:f>
              <c:strCache>
                <c:ptCount val="1"/>
                <c:pt idx="0">
                  <c:v>O</c:v>
                </c:pt>
              </c:strCache>
            </c:strRef>
          </c:tx>
          <c:spPr>
            <a:gradFill rotWithShape="1">
              <a:gsLst>
                <a:gs pos="0">
                  <a:schemeClr val="accent1">
                    <a:lumMod val="60000"/>
                    <a:lumMod val="110000"/>
                    <a:satMod val="105000"/>
                    <a:tint val="67000"/>
                  </a:schemeClr>
                </a:gs>
                <a:gs pos="50000">
                  <a:schemeClr val="accent1">
                    <a:lumMod val="60000"/>
                    <a:lumMod val="105000"/>
                    <a:satMod val="103000"/>
                    <a:tint val="73000"/>
                  </a:schemeClr>
                </a:gs>
                <a:gs pos="100000">
                  <a:schemeClr val="accent1">
                    <a:lumMod val="60000"/>
                    <a:lumMod val="105000"/>
                    <a:satMod val="109000"/>
                    <a:tint val="81000"/>
                  </a:schemeClr>
                </a:gs>
              </a:gsLst>
              <a:lin ang="5400000" scaled="0"/>
            </a:gradFill>
            <a:ln w="9525" cap="flat" cmpd="sng" algn="ctr">
              <a:solidFill>
                <a:schemeClr val="accent1">
                  <a:lumMod val="60000"/>
                  <a:shade val="95000"/>
                </a:schemeClr>
              </a:solidFill>
              <a:round/>
            </a:ln>
            <a:effectLst/>
          </c:spPr>
          <c:invertIfNegative val="0"/>
          <c:cat>
            <c:strRef>
              <c:f>Sheet5!$A$30:$A$50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Sheet5!$E$30:$E$50</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3-50F5-4DC5-BDA6-7BC46FDEE6EE}"/>
            </c:ext>
          </c:extLst>
        </c:ser>
        <c:dLbls>
          <c:showLegendKey val="0"/>
          <c:showVal val="0"/>
          <c:showCatName val="0"/>
          <c:showSerName val="0"/>
          <c:showPercent val="0"/>
          <c:showBubbleSize val="0"/>
        </c:dLbls>
        <c:gapWidth val="150"/>
        <c:overlap val="100"/>
        <c:axId val="1364228544"/>
        <c:axId val="1364232288"/>
      </c:barChart>
      <c:catAx>
        <c:axId val="1364228544"/>
        <c:scaling>
          <c:orientation val="maxMin"/>
        </c:scaling>
        <c:delete val="0"/>
        <c:axPos val="l"/>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64232288"/>
        <c:crosses val="autoZero"/>
        <c:auto val="1"/>
        <c:lblAlgn val="ctr"/>
        <c:lblOffset val="100"/>
        <c:noMultiLvlLbl val="0"/>
      </c:catAx>
      <c:valAx>
        <c:axId val="13642322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6422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[ecommerce-blank.xlsx]Sheet5!PivotTable8</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Sheet5!$L$29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63-4995-AE8A-9DA7F784DF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63-4995-AE8A-9DA7F784DF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63-4995-AE8A-9DA7F784DF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63-4995-AE8A-9DA7F784DF4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Sheet5!$K$30:$K$34</c:f>
              <c:strCache>
                <c:ptCount val="4"/>
                <c:pt idx="1">
                  <c:v>F</c:v>
                </c:pt>
                <c:pt idx="2">
                  <c:v>M</c:v>
                </c:pt>
                <c:pt idx="3">
                  <c:v>O</c:v>
                </c:pt>
              </c:strCache>
            </c:strRef>
          </c:cat>
          <c:val>
            <c:numRef>
              <c:f>Sheet5!$L$30:$L$34</c:f>
              <c:numCache>
                <c:formatCode>General</c:formatCode>
                <c:ptCount val="4"/>
                <c:pt idx="0">
                  <c:v>736</c:v>
                </c:pt>
                <c:pt idx="1">
                  <c:v>6272</c:v>
                </c:pt>
                <c:pt idx="2">
                  <c:v>4672</c:v>
                </c:pt>
                <c:pt idx="3">
                  <c:v>317</c:v>
                </c:pt>
              </c:numCache>
            </c:numRef>
          </c:val>
          <c:extLst>
            <c:ext xmlns:c16="http://schemas.microsoft.com/office/drawing/2014/chart" uri="{C3380CC4-5D6E-409C-BE32-E72D297353CC}">
              <c16:uniqueId val="{00000008-7F63-4995-AE8A-9DA7F784DF42}"/>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long we Take the Ship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50800" dir="5400000" sx="5000" sy="5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Sheet5!$O$26</c:f>
              <c:strCache>
                <c:ptCount val="1"/>
                <c:pt idx="0">
                  <c:v>Total</c:v>
                </c:pt>
              </c:strCache>
            </c:strRef>
          </c:tx>
          <c:spPr>
            <a:solidFill>
              <a:schemeClr val="accent1"/>
            </a:solidFill>
            <a:ln>
              <a:noFill/>
            </a:ln>
            <a:effectLst>
              <a:outerShdw blurRad="50800" dist="50800" dir="5400000" sx="5000" sy="5000" algn="ctr" rotWithShape="0">
                <a:schemeClr val="bg1"/>
              </a:outerShdw>
            </a:effectLst>
          </c:spPr>
          <c:invertIfNegative val="0"/>
          <c:cat>
            <c:strRef>
              <c:f>Sheet5!$N$27:$N$42</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Sheet5!$O$27:$O$42</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F87F-4B21-B811-2BF5DC84982D}"/>
            </c:ext>
          </c:extLst>
        </c:ser>
        <c:dLbls>
          <c:showLegendKey val="0"/>
          <c:showVal val="0"/>
          <c:showCatName val="0"/>
          <c:showSerName val="0"/>
          <c:showPercent val="0"/>
          <c:showBubbleSize val="0"/>
        </c:dLbls>
        <c:gapWidth val="282"/>
        <c:overlap val="-63"/>
        <c:axId val="1354892736"/>
        <c:axId val="1354893984"/>
      </c:barChart>
      <c:catAx>
        <c:axId val="135489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893984"/>
        <c:crosses val="autoZero"/>
        <c:auto val="1"/>
        <c:lblAlgn val="ctr"/>
        <c:lblOffset val="100"/>
        <c:noMultiLvlLbl val="0"/>
      </c:catAx>
      <c:valAx>
        <c:axId val="1354893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892736"/>
        <c:crosses val="autoZero"/>
        <c:crossBetween val="between"/>
      </c:valAx>
      <c:spPr>
        <a:solidFill>
          <a:schemeClr val="bg1"/>
        </a:solidFill>
        <a:ln>
          <a:noFill/>
        </a:ln>
        <a:effectLst>
          <a:outerShdw blurRad="50800" dist="63500" dir="5400000" sx="124000" sy="124000" algn="ctr" rotWithShape="0">
            <a:schemeClr val="bg1"/>
          </a:outerShdw>
          <a:softEdge rad="38100"/>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rnd" cmpd="sng" algn="ctr">
      <a:solidFill>
        <a:schemeClr val="tx1">
          <a:lumMod val="15000"/>
          <a:lumOff val="85000"/>
        </a:schemeClr>
      </a:solidFill>
      <a:round/>
    </a:ln>
    <a:effectLst>
      <a:outerShdw blurRad="50800" dist="50800" dir="5400000" sx="1000" sy="1000" algn="ctr" rotWithShape="0">
        <a:srgbClr val="000000">
          <a:alpha val="43137"/>
        </a:srgbClr>
      </a:outerShdw>
      <a:softEdge rad="38100"/>
    </a:effectLst>
    <a:scene3d>
      <a:camera prst="orthographicFront"/>
      <a:lightRig rig="threePt" dir="t"/>
    </a:scene3d>
    <a:sp3d>
      <a:bevelT w="19050" h="88900"/>
      <a:bevelB w="1270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[ecommerce-blank.xlsx]Sheet5!PivotTable14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Satisfied are the Customers</a:t>
            </a:r>
            <a:endParaRPr lang="en-US"/>
          </a:p>
        </c:rich>
      </c:tx>
      <c:layout>
        <c:manualLayout>
          <c:xMode val="edge"/>
          <c:yMode val="edge"/>
          <c:x val="8.1702350514927358E-2"/>
          <c:y val="4.814496562879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Sheet5!$R$27:$R$28</c:f>
              <c:strCache>
                <c:ptCount val="1"/>
                <c:pt idx="0">
                  <c:v>1</c:v>
                </c:pt>
              </c:strCache>
            </c:strRef>
          </c:tx>
          <c:spPr>
            <a:solidFill>
              <a:schemeClr val="accent1"/>
            </a:solidFill>
            <a:ln>
              <a:noFill/>
            </a:ln>
            <a:effectLst/>
          </c:spPr>
          <c:invertIfNegative val="0"/>
          <c:cat>
            <c:strRef>
              <c:f>Sheet5!$Q$29:$Q$32</c:f>
              <c:strCache>
                <c:ptCount val="3"/>
                <c:pt idx="0">
                  <c:v>Jan</c:v>
                </c:pt>
                <c:pt idx="1">
                  <c:v>Feb</c:v>
                </c:pt>
                <c:pt idx="2">
                  <c:v>Mar</c:v>
                </c:pt>
              </c:strCache>
            </c:strRef>
          </c:cat>
          <c:val>
            <c:numRef>
              <c:f>Sheet5!$R$29:$R$32</c:f>
              <c:numCache>
                <c:formatCode>General</c:formatCode>
                <c:ptCount val="3"/>
                <c:pt idx="0">
                  <c:v>7</c:v>
                </c:pt>
                <c:pt idx="1">
                  <c:v>8</c:v>
                </c:pt>
                <c:pt idx="2">
                  <c:v>6</c:v>
                </c:pt>
              </c:numCache>
            </c:numRef>
          </c:val>
          <c:extLst>
            <c:ext xmlns:c16="http://schemas.microsoft.com/office/drawing/2014/chart" uri="{C3380CC4-5D6E-409C-BE32-E72D297353CC}">
              <c16:uniqueId val="{00000000-899E-4354-9973-92042267CEBF}"/>
            </c:ext>
          </c:extLst>
        </c:ser>
        <c:ser>
          <c:idx val="1"/>
          <c:order val="1"/>
          <c:tx>
            <c:strRef>
              <c:f>Sheet5!$S$27:$S$28</c:f>
              <c:strCache>
                <c:ptCount val="1"/>
                <c:pt idx="0">
                  <c:v>2</c:v>
                </c:pt>
              </c:strCache>
            </c:strRef>
          </c:tx>
          <c:spPr>
            <a:solidFill>
              <a:schemeClr val="accent2"/>
            </a:solidFill>
            <a:ln>
              <a:noFill/>
            </a:ln>
            <a:effectLst/>
          </c:spPr>
          <c:invertIfNegative val="0"/>
          <c:cat>
            <c:strRef>
              <c:f>Sheet5!$Q$29:$Q$32</c:f>
              <c:strCache>
                <c:ptCount val="3"/>
                <c:pt idx="0">
                  <c:v>Jan</c:v>
                </c:pt>
                <c:pt idx="1">
                  <c:v>Feb</c:v>
                </c:pt>
                <c:pt idx="2">
                  <c:v>Mar</c:v>
                </c:pt>
              </c:strCache>
            </c:strRef>
          </c:cat>
          <c:val>
            <c:numRef>
              <c:f>Sheet5!$S$29:$S$32</c:f>
              <c:numCache>
                <c:formatCode>General</c:formatCode>
                <c:ptCount val="3"/>
                <c:pt idx="0">
                  <c:v>37</c:v>
                </c:pt>
                <c:pt idx="1">
                  <c:v>51</c:v>
                </c:pt>
                <c:pt idx="2">
                  <c:v>39</c:v>
                </c:pt>
              </c:numCache>
            </c:numRef>
          </c:val>
          <c:extLst>
            <c:ext xmlns:c16="http://schemas.microsoft.com/office/drawing/2014/chart" uri="{C3380CC4-5D6E-409C-BE32-E72D297353CC}">
              <c16:uniqueId val="{00000001-899E-4354-9973-92042267CEBF}"/>
            </c:ext>
          </c:extLst>
        </c:ser>
        <c:ser>
          <c:idx val="2"/>
          <c:order val="2"/>
          <c:tx>
            <c:strRef>
              <c:f>Sheet5!$T$27:$T$28</c:f>
              <c:strCache>
                <c:ptCount val="1"/>
                <c:pt idx="0">
                  <c:v>3</c:v>
                </c:pt>
              </c:strCache>
            </c:strRef>
          </c:tx>
          <c:spPr>
            <a:solidFill>
              <a:schemeClr val="accent3"/>
            </a:solidFill>
            <a:ln>
              <a:noFill/>
            </a:ln>
            <a:effectLst/>
          </c:spPr>
          <c:invertIfNegative val="0"/>
          <c:cat>
            <c:strRef>
              <c:f>Sheet5!$Q$29:$Q$32</c:f>
              <c:strCache>
                <c:ptCount val="3"/>
                <c:pt idx="0">
                  <c:v>Jan</c:v>
                </c:pt>
                <c:pt idx="1">
                  <c:v>Feb</c:v>
                </c:pt>
                <c:pt idx="2">
                  <c:v>Mar</c:v>
                </c:pt>
              </c:strCache>
            </c:strRef>
          </c:cat>
          <c:val>
            <c:numRef>
              <c:f>Sheet5!$T$29:$T$32</c:f>
              <c:numCache>
                <c:formatCode>General</c:formatCode>
                <c:ptCount val="3"/>
                <c:pt idx="0">
                  <c:v>150</c:v>
                </c:pt>
                <c:pt idx="1">
                  <c:v>182</c:v>
                </c:pt>
                <c:pt idx="2">
                  <c:v>163</c:v>
                </c:pt>
              </c:numCache>
            </c:numRef>
          </c:val>
          <c:extLst>
            <c:ext xmlns:c16="http://schemas.microsoft.com/office/drawing/2014/chart" uri="{C3380CC4-5D6E-409C-BE32-E72D297353CC}">
              <c16:uniqueId val="{00000002-899E-4354-9973-92042267CEBF}"/>
            </c:ext>
          </c:extLst>
        </c:ser>
        <c:ser>
          <c:idx val="3"/>
          <c:order val="3"/>
          <c:tx>
            <c:strRef>
              <c:f>Sheet5!$U$27:$U$28</c:f>
              <c:strCache>
                <c:ptCount val="1"/>
                <c:pt idx="0">
                  <c:v>4</c:v>
                </c:pt>
              </c:strCache>
            </c:strRef>
          </c:tx>
          <c:spPr>
            <a:solidFill>
              <a:schemeClr val="accent4"/>
            </a:solidFill>
            <a:ln>
              <a:noFill/>
            </a:ln>
            <a:effectLst/>
          </c:spPr>
          <c:invertIfNegative val="0"/>
          <c:cat>
            <c:strRef>
              <c:f>Sheet5!$Q$29:$Q$32</c:f>
              <c:strCache>
                <c:ptCount val="3"/>
                <c:pt idx="0">
                  <c:v>Jan</c:v>
                </c:pt>
                <c:pt idx="1">
                  <c:v>Feb</c:v>
                </c:pt>
                <c:pt idx="2">
                  <c:v>Mar</c:v>
                </c:pt>
              </c:strCache>
            </c:strRef>
          </c:cat>
          <c:val>
            <c:numRef>
              <c:f>Sheet5!$U$29:$U$32</c:f>
              <c:numCache>
                <c:formatCode>General</c:formatCode>
                <c:ptCount val="3"/>
                <c:pt idx="0">
                  <c:v>312</c:v>
                </c:pt>
                <c:pt idx="1">
                  <c:v>373</c:v>
                </c:pt>
                <c:pt idx="2">
                  <c:v>351</c:v>
                </c:pt>
              </c:numCache>
            </c:numRef>
          </c:val>
          <c:extLst>
            <c:ext xmlns:c16="http://schemas.microsoft.com/office/drawing/2014/chart" uri="{C3380CC4-5D6E-409C-BE32-E72D297353CC}">
              <c16:uniqueId val="{00000003-899E-4354-9973-92042267CEBF}"/>
            </c:ext>
          </c:extLst>
        </c:ser>
        <c:ser>
          <c:idx val="4"/>
          <c:order val="4"/>
          <c:tx>
            <c:strRef>
              <c:f>Sheet5!$V$27:$V$28</c:f>
              <c:strCache>
                <c:ptCount val="1"/>
                <c:pt idx="0">
                  <c:v>5</c:v>
                </c:pt>
              </c:strCache>
            </c:strRef>
          </c:tx>
          <c:spPr>
            <a:solidFill>
              <a:schemeClr val="accent5"/>
            </a:solidFill>
            <a:ln>
              <a:noFill/>
            </a:ln>
            <a:effectLst/>
          </c:spPr>
          <c:invertIfNegative val="0"/>
          <c:cat>
            <c:strRef>
              <c:f>Sheet5!$Q$29:$Q$32</c:f>
              <c:strCache>
                <c:ptCount val="3"/>
                <c:pt idx="0">
                  <c:v>Jan</c:v>
                </c:pt>
                <c:pt idx="1">
                  <c:v>Feb</c:v>
                </c:pt>
                <c:pt idx="2">
                  <c:v>Mar</c:v>
                </c:pt>
              </c:strCache>
            </c:strRef>
          </c:cat>
          <c:val>
            <c:numRef>
              <c:f>Sheet5!$V$29:$V$32</c:f>
              <c:numCache>
                <c:formatCode>General</c:formatCode>
                <c:ptCount val="3"/>
                <c:pt idx="0">
                  <c:v>224</c:v>
                </c:pt>
                <c:pt idx="1">
                  <c:v>247</c:v>
                </c:pt>
                <c:pt idx="2">
                  <c:v>250</c:v>
                </c:pt>
              </c:numCache>
            </c:numRef>
          </c:val>
          <c:extLst>
            <c:ext xmlns:c16="http://schemas.microsoft.com/office/drawing/2014/chart" uri="{C3380CC4-5D6E-409C-BE32-E72D297353CC}">
              <c16:uniqueId val="{00000004-899E-4354-9973-92042267CEBF}"/>
            </c:ext>
          </c:extLst>
        </c:ser>
        <c:dLbls>
          <c:showLegendKey val="0"/>
          <c:showVal val="0"/>
          <c:showCatName val="0"/>
          <c:showSerName val="0"/>
          <c:showPercent val="0"/>
          <c:showBubbleSize val="0"/>
        </c:dLbls>
        <c:gapWidth val="219"/>
        <c:axId val="1642566096"/>
        <c:axId val="1642566512"/>
      </c:barChart>
      <c:catAx>
        <c:axId val="164256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566512"/>
        <c:crosses val="autoZero"/>
        <c:auto val="1"/>
        <c:lblAlgn val="ctr"/>
        <c:lblOffset val="100"/>
        <c:noMultiLvlLbl val="0"/>
      </c:catAx>
      <c:valAx>
        <c:axId val="164256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566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title pos="t" align="ctr" overlay="0">
      <cx:tx>
        <cx:txData>
          <cx:v>Where our Customers live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Aptos Narrow" panose="02110004020202020204"/>
            </a:rPr>
            <a:t>Where our Customers live</a:t>
          </a:r>
        </a:p>
      </cx:txPr>
    </cx:title>
    <cx:plotArea>
      <cx:plotAreaRegion>
        <cx:plotSurface>
          <cx:spPr>
            <a:effectLst>
              <a:outerShdw blurRad="50800" dist="50800" dir="5400000" algn="ctr" rotWithShape="0">
                <a:schemeClr val="accent5">
                  <a:lumMod val="75000"/>
                </a:schemeClr>
              </a:outerShdw>
            </a:effectLst>
          </cx:spPr>
        </cx:plotSurface>
        <cx:series layoutId="regionMap" uniqueId="{8AC5114C-0767-4DF0-828B-DD769F4BD536}">
          <cx:tx>
            <cx:txData>
              <cx:f>_xlchart.v5.14</cx:f>
              <cx:v>Sum of Amount</cx:v>
            </cx:txData>
          </cx:tx>
          <cx:spPr>
            <a:effectLst>
              <a:outerShdw blurRad="50800" dist="50800" dir="5400000" algn="ctr" rotWithShape="0">
                <a:srgbClr val="FF0000"/>
              </a:outerShdw>
            </a:effectLst>
          </cx:spPr>
          <cx:dataId val="0"/>
          <cx:layoutPr>
            <cx:geography cultureLanguage="en-GB" cultureRegion="PK" attribution="Powered by Bing">
              <cx:geoCache provider="{E9337A44-BEBE-4D9F-B70C-5C5E7DAFC167}">
                <cx:binary>7H1pb9tI1u5fCfJ5qK6VVTWYHqCLlOTdSZz9C6HYCvd9569/D20nLdFORgYkXIzuKL3AVnR4xHp4
9uVft90/b6P1qnjVxVFS/vO2+/O1V1XZP//4o7z11vGqnMX+bZGW6fdqdpvGf6Tfv/u36z/uilXr
J+4fBGH2x623Kqp19/rf/wJq7jq9SG9XlZ8mb+t10b9bl3VUlb9579m3Xq3uYj+x/bIq/NsK//na
WkX+97RI/NXr7ffIn68/rpOqLlavrLROqv71K/jRr/r3fbb+8/UWHfL61R/Tyz1h7VUE3Ff1HXyY
shmRSFJEhbp/ydevojRxH982MFYzoihGJoJ3Hi57tYrhk9ss/ePV3+z/49WHxK/Wd69uqlW1Ln98
7Flu73ld3d0V67KEb33//xfR3vr2cBP/+s8373a8ieO5uXCEf76eMOuX6f1dLnorHe/Qh5v7W/rH
9sn/+1+TX8BNnvxmAxzTE/lPb22f/3/Axl8RnMfdIbAhZhIxSaRJH7AhJtggZEYEYcIE1G1CY5uj
/ULjBbR3gMY2tdevjgwaN6vklV7Dw5geQHKYM8kJx4TyB3SoKTrwjCGCTMzMbXg84Wq/CHkZ+R1A
8oTg0eEEZPeqWRer8gAwkTOsTIKJEOj+BbJiS8EQNDMlUoROYTJlar8oeRH1HUAypXd0GDmNs3Xh
r6IDQITMhCKSMzAz7l90AhHMZ9zknGNh3r+Pt+XJhLP94uQlxHeAyYTc0aHkryjzk/UBMCJnpqLc
xJz90k4V8OJcsG10bHG0X2zsTnoHZGwROzpcjDrU9tfuIQwREB+YCw4iZCo3xAybVGL5w0TZRsaU
p/2C40XUd8DHlN7RQeSveHWXFgcRHRR8FEQkSIap6SEEAfcWqef0yhZD+wXH7qR3QMYWsaODhZVG
dXkI7xYCG6PZCSrlwep4YpiSGYLIiKkY35YbWxztFxe7k94BF1vEjg4XN2mSxofAhZwxqkwlyKPD
MrVGIeoB+sZkbJQnm2GPLY72i4vdSe+Aiy1iR4cLXVfVIQxQNRtjHQz9ygAleMY5MzEmE/dkk6H9
omJnyjuAYpPW0WHiTbS6XR/GtJBKKMzkgwGBnsgKPENi9GvJzxjZpsTY4mu/2Nid9A7g2CJ2dOiw
UkgHjJqkrA6jTxCWStFfZVhAn2DKJBd4kmF5hq/9YuSlF9gBKc+QPDq8XKTlq78Sdx2tDxEvZTPE
CaGSPYbVnzi1ckYYBY8GP9gnE23zlLn9YuaF9HeAzFOKR4cYex29ukohhbx/75bhmeAM3NhRxoyv
J0k6yPAiRiFJN8nSTZnaL05eRH0HlEzpHR1GLtfFLeTM95/hFzOKTGVK8xEgU4ECCRgmsQJ5wp6L
gmzxtV+M7E56B4BsETs6dMyjV3ZaQIDsAACRM0GUycljll89SeQiyM+MRi5/Nv0yZW2/GHkR9R1g
MqV3dEhZQClNcgiYmDNBMaThoCTo4TWJpkKlkJAc/uBJvGyLo/2iY3fSO0Bji9jR4eJ94UMhSL9/
+cFAPFAiIANjPuDiiQVCZgriJhhCrdsBs22W9ouMF9DeARrb1I4OG8tonST7RwaFmBmBg1cEKoC2
My/g8yqJBeUTo3STk/0CYmfKO8Bhk9bRgeFLGh1CfUACXwg2CoIpFsCDEeDO4ql42GBkv1DYlfAO
SNggdXRAOKnjb2l0V+1fMIwqQ0JhIHsqGBik7DFFUHX6w8jYDJhOWNovLF5CfAdoTMgdHTxOk/4Q
cgLKShEBtQGy4gcCtlQHHgsKlWlKOQmXbvCzX1zsSngHTGyQOjo8nK+LQ9gQfEbFfdrtwflEYENu
40HNxvg6BhN027rc4Ge/eNiV8A542CB1dHgYC5YuoQHkEEJCQMgKgp5QEfhLl4MQicHcmLgcU6b2
i4wXUd8BHlN6R4eRc2ixOkQSxZyBOIDWlB9JlGlIC2IVJrwHufqp0NhgaL/Y2Pyqv6W8Ay42aR0d
Ji5W4QHyJOCLQhYEcmZQ7Xf/eqbcS2GOTSkm7Sob/Pz23B7s1Bd0ue1KeAdAbJA6QjyU5foAlgU4
IQzKyaUiD4B4WrwBnSnwNpPmREhcrDY42jcmdiW9Eyo2iB0dLqC7NPHLaFUfQoEIOHoE4SnzV9IC
CnvQmIcXEy/kCVf7xcfLyO+AkScEjw4nl6s7aG3bfxCDmjNobIMIpngsIJ56JpBYRSZU9jAM5sdm
FGOLo/3iY3fSO2Bji9jx4SK9S2/3DwsoyGAKKTAuH9MhT2LfaMYZgTJSDNWCW7DYYGjPqNiV8i6g
2KB1fJhYQZZs/5igYqYEgwwZesyxP6nBIDNOMRgaaqJOLjcY2jMmdqW8CyY2aB0dJt6vvdUhGg3A
/oSGVhOq/X6RUB/HK1AG7fP4wUKdhDK2+NovNnYnvQM4togdHTpu0mh1kHILKPPkUHMjxKMF+sS6
gPYkpiRH0775LY72i4vdSe+Aiy1ix4cLvwz9Pq33r0zGik+KuSQ/xrJMg1sgN0zwXDgYn9sGxs02
T3vGxguI74KObXJHh493PgzcKP27Q4S66ExJxCl9zJg8TZlASSiM44Dg58QxmTK1X4S8iPoOEJnS
OzqMXBcraDPYvwShFAo6QbdI81fDFGDyE4euaHOEzqaLssXRftGxO+kdoLFF7OhwMToFWXqQpuj7
xBpENORjUHRqdUDiRJlMSGiO/ZGd38THhLP9IuQlxHfAyITc0aHkxl8XB4l7QVWfiShU6Dz0CzwX
N4c3ETQcPATGJjJki6/9ImR30jvgY4vY0aHjcp1A+Ms/iOuiZpB5h04k8TjPaSpECIWWJGFSOjYr
bYmPCVP7Rcf0K/+W+g4AmdI7Oox8qb8dIm4+wgNDH4H61UQ46KSHLKxkU/9lg5/fnt0DpF6Qid2V
8A6g2CB1dHi4hJEbB7BGx0gHh3rQx4rPJx2M4whaIqHRHk3clQ1+9ouHXQnvgIcNUseIh2pdrA/Q
UwK5NVNAvThFvxrCgmcmzGAx6XT2LNzvTZ72joudie+GjU1yR4ePq1V2CP0B8gKm8zAo3noo3Hgy
dAPi5lC2gcCJ2TYvNvjZLy52JbwDJjZIHR8e1s3qIIOqQUGYRMAU88dM/BNEQLUGhjleTE1qu642
OdozJnYmvQsqNokdHS7eRDXM4T+AZQHBCmoK6Gx+zLCBu7FVOw4VGlDeBbl6OmlZ3eJov7jYnfQO
uNgidnS4uFndFjDbPjnI+HI54wJGyjKYPX3/eoKNsY5j/APNB+NrGsWY8rZflDz56r8lvwNSnhA8
QrQkr87SVV4fqoID6jcYYY+B0WdUDFFQcK7U80EvaIbYZu63B/piD3bsFHgB/Z0AM6V4lIjR0LW0
Ku4OEwiDZkaYIArzhx9z+FPQYAGmLEMwQm7bUB1P8wlj+wfMyy6xI2aeED1K2CwgNXfrl7fpj4N7
Ntr0wl08ArpiERLQ2figkp5J7IP4gdQ/fQYvPzl6tKP2D5cXXWFHtExpHiVYLmq/fHX9zS+zQ4TP
OHi7xAT3BrDzaKhMjVyoMkMwmPQZ1Dxlbf+4eeE1dkTOU6rHiB2YSKlXxbfVQRJ5bAbiZCw6/UUB
4tglpySUIMIQ7PvXD2H3sAEMtNQT9vaOnpddYTfsPKF5pMixosPgBsqHYP4kNNL9aqIcnoEOwxBv
mbjVD4jZZOsQeNmZ/s5o2aR4rFgp6uEAERjokRFQwox+NEM8U/gOixlAc00jc49Q+ZurgyBlR/K7
A+Vvgv8VOPn9vrutrz1uIfzrhwJ4xtp96eJJcH1gXLoJuud5s2VUPhiG8EOu+DnlA/u2Hrdl7r5u
8mF/55Ntk78htXUHHm7A72/Zf932yBtvVYI+3PvYUehugFVMsH2H/irLT2awmgdJsF1/oOrRrNjk
aM9P/c6knzn4rV/BTtbJnTs2XIxrFA4xMh+qPyghsBDw8bF+ohEgszt2PjzJ1dxscrRnXOxMegsE
z6+b3eLzv0ILbH2p/7Bt9n0NRuUhapJhZAdFY6fTr/UBUaNZySGKtlk0tsXRfnGxO+mtW/g8LraI
HSEuYE9TfJDVf9A8KSFMChLheUsBsnhQjYqxJE+QscXTvrGxO/Gd0LFF7v8NPn69wfrnDnF7Va3m
99vHN5ZY//7dH9uvJx99fIifMSV/lm2c3v35Goo8KDS5Qezq52LzkdCWCHgQuT/Ewvan1mDf/Pna
AH0D4z6gaIRyymF9EwHXtF3/fAuiZ7CmlmEMyklCqi+Baf0erEdXMzpqKliBDSPGoB0CbJUyre/f
grHZsLMWIGkKTCGKQn6uh3+TRr2bJj/vyuPPr5I6fpP6SVX++Rrqo1+/yh7+3sgvRxyGYIJa5GOG
CcrhxjGZ2e3q3TiPCG7CPxqSkCo3VH8NY3bLBTKiZF4yVIY6pNLJzyUKOq7zhhuGxZ0ku2zb+gbF
fMll2OiyGGrte4hfdEmX6yYgia5Ldga5B2RFPS0XBFfqykzb9KRr8uwtYUWmTVYZ53Hv8mUZpJ/V
gAPL4Og2yRnS2Bvexn4aaqdNI9vImkhTV1wPMmqsJG2QdjMRWn7aDhpLl+radxMricnbkBrRaRO3
tR07fI4Kj58Yous0p055isM6kVqZCbf8LHzHsFy3YX6TNv5FFreFXSDTOA06oztzVRRZQ6Wya1Sb
X8GgeKdyoOLg8BICoa3NSG2XXRLZTqsuEYNbQ0mkO7d5i8LhY1xnH1SQn/te+RUZdBlkMTA7tMRK
ZHDBeN/puuWXQybvBhWFVt+HuSVJc96LNLWcqM0to65i7ZndQhHnNvRoqblMF05azoWRXyYk+xz4
ca4FzRzL9+Ji3vL+2+CTK+wX8IPM3vmeG1kooLl8U1Jp9EujTnqdeXA9B7WNlRepLXExL7J0SUS3
QKpdElSd11gtcDGsByn9ORfNedLxwhKFkLose08ndZlZLA5iq5BtdqJcleqWsE9ZHV3WBnXtnGXz
piPcLvu1I8w5IVllEcdd9X3yvRZuaouQJ3bFhnSBURVdyoi8cYre1MLM0UkWZG+9YljJvHQ0rgzX
8qLUtApWcp2Y6WlDqo9BkL6tUYy0aWatllGwGPIFj+LC8miyrLH5tmvdT1WSKV3F5blbVJHdGHEz
lybAVZbc0X7oVrboB3QiosSfp3HJdOo61dzP1cfMCd6EsZtbeWmeO60s7D4vO7vi/gr1g2tVTboS
HS2ssjN8uzSc4cSpUma3VRjOM5f5OiY10ggPmd0xl2m3cm+EIwBTKSUnJI4vKyftrDoJlXa6wdB+
LjxNGTuPjPatib0viaCOTrpYznlpXsQmOYGZlJXVuOq6S8rSjgzCLeHhU+SiUpsZrjRvHU8HUXed
dsZpkVaF7tvwtg7qT0FMv2V9+yZgdWdjN16DkLoqiBvropVXTcvRPJCy0E6ZNBeqL9/QjN4FzM90
mXknNOq/tYG66khy4ydRYMV8+BLlFdKlwd2F5EGwyNyi1pVjfinT/C1xvUgHQbgOhiY/6YmzHOpW
WCQyTF2yMtLK9W9Sz23hofajuZGFn5I2/YQLr9dmw1YFCr4mZh3D8aeVzlIn035KL+tUfgwK4xy7
zZlUMZqjjs9NLztzUh5YdVpbDYyP14EyvlR5vxRBepEWcaRbUbbac8XnaiCVDl2qTppMKLuMVXzS
YgBeXip2TcJUGnbOB//uXhs8qqstcXubZn3hu171IH1//vjv92kM//xr/Mzfv/zX1k/LdTq6oOX0
L219Bug+XndUQ1s/PNGLv9B879ZlHVW/ePNFanHUEr9Wi5vLmJ4qx/GzG8qRj3F+qn5qwJ/KkcwY
lOvDchAYuipgMeLfyhEmsSLw5RTsKwJ9BYnLv5UjpDKx5LCT1xznvguYgPPj626dlrtOn1OOCCyA
iXJU4n5HiYRNJqOe3laOKhaDShreXEeNTzzHKvIUnUUdZmfJkAaBFZjxhz5wiRadcSETQu2Ax41u
A9P2EgO0WRW879zqPJTdTYO6i97BAUhiU4EakIMe/OFM+dXHNu6vRExPuW9qGjmpzmV5nXXdmZnV
ptXF+ak/RK2Oy1K3jguCQ6huWVD6nUq3stoyTzTyw97KfErmRWjkepBsUQeBtFiEaq1K70tvgowo
I9bPVdXHNiqy98ysa81qg1g8dC2aDcjq20ozN2+sInE+RQrbFTF7qwCxw/32m1mHOnDy2IaV6bd5
IHyrMf3PZt6BHBLmKe2kVee+0EZKPpsuW0qRDZbT0oUnC0PTMj4hZsPtJpUnZRfHds+aQvtN961P
nW9x1V2j1Ms1D6svPlK+FbNwGYbdqfTcZIG7UU83Rqqlm925oHrtDiefM5AAmnoNtZ26WpsOGa7K
sF/5GXfOa+4Lq+AE9Klrzo1E4nekFIXNUsezfNhupNOyU8u2Dc8xz5svUjUFWBRgoi3SoLEGJvw5
c0S6AEsGzBneDXPpeWCCqCHVNUnKyx7Jzg7jpljI1M9sJzJ6qwI066IMvbnhp8W8R74zT1Dpn/so
jZZStdUN4c3wsR0az05R5OiwjNBlb8ZiMbRh+CUtGnLmC2F+bso4flcWOH/jmcQ/BaXdXeTKoXbT
R+kZMXMQvQZjwYXTJpkzN9Luoi6GiOghRs63TvqGtFtu5KcJQW/DVOG557XZB9TDjV86ECH7agTK
/c5kVM9jRYhuq76eh1JafUxyXQZZrZuhAtwU/jkuyWXVD3DX23neuhdlkn9BZaksI6+vCi9pTxyn
6hYCNWDk0FQtBPcazbrsilWkWuQxsgJRVPMcq3PHMV0dRj7RCR2obTYqsQcWYjvF0rdF3KNFWlMv
mxP/RtAkW2LfDC9T8NPPw9ptPqpYylMTPBvtGchZGjIZrNIovnfEMU7iLLA72ftn/xPm9z4Oh32y
vxbmHyHmURerp3J8/NgPOQ7Dsc1RIkPQFWOQwCCRf8hxiKdzoUAaQxW0hKEhG3KczRREXgS42IqZ
UDoP0vWHkwOdehimtN93YuD7t14gx0cXZsvFgbJ90P9Qlw8LdNW9T7fp4nTIcJuiSOqroQ/B+q21
CxalL2O9cV+eURcYQe3m9EIc2lPHxDUisP1s4kvhqGpyM2DZFaq5+hB6uWFasYj64QQCTGBL0yqp
2WlZOsNNQEJXw0h69imQwv2SpYE8K9xenWMRZzoTBe/eeD19R/u0SW2zd0V53oRBSb82XW7KN62T
N80iwGB7NqzxtRka0XUbRCWe+1mWknnaRnVjScN1Au2XTvIZFISaczkUyC6TWx6x9kqwLLpmNcoi
C2dh1C9Sp6NW1IBUicq01cJvU3qNGszDiyYKrosqBC2UJZ3lqTewfXTNy+wuyd2FU6L3Aiy+pKVL
bpjgVyD4FkbmzxVzFiqe8y4+dfo+t2kYg91cYDvq8++e9N4NGbvCJPte0+YmAgt13rIi+CLCtLSV
G9aXhsiKq7zk5lnkq8tMxdF8GEipE8Og31lQJifM8dBVUuXZPG6cXPuRweeklZcUPM8yKVt7ILKx
XX8gyyoRH3psfI6Il9tp4PFCV5VLBAgs4gEsnHgOHrQ/hy2JQKIiCxyaxYeCVbSzTZl470q3Mea1
AO9Jdaj7zCIfNDcjYKyWYQ2axSh6MAGGd7lZyTPPwPjq9xgj8JBNIQZD3GDy+Lh8jwKsty2SvC9y
1+1kcVXO41VbaHwz3IDC1blVnSQnDtae7c7jpZgX80TzM7agc3LiWOF/wDqHJ3qDDwnlyUIIyMPD
YiaEwF+GAMXmM8W7oq3d0kuvHOKe9ZHXWaGbOzprGdFShGqeNw5dFMQsfO1IdOmKwjnDcEZmmMdW
L/or5aBeSzJ8rTpQFiVx4kVVZQtHDl8FdzgYGoannaH7lEeZ0KTIe0uUAbW71iEQJghizb1u3lNQ
4DixAmewciYdPXB1MlCse0KWMKcZ67wqABSKWU2cnAQds1PKCp2ibN6CFiNO6Okw8bHdZOC8xUFp
w0N81XaKLnM3CHVJ3Q8uhC8wjS/rTiJtyGyJQgCaUDkYWSi4+f0RbwsRuLNQlmlCm/LYNUJh1s5E
iKiBtCqLneIKNXGwBEEQwZdHiWX43pynPtMsd0Fc/5Toz0iuMWC5fZqTa05O0+gaUTShW17lLv3C
ncLqavDWh1KcsLi+THMHjB4TIjcizy0eleBxsqS/GIra09LgF6kvPyO/hABQaXx3QrbI8vySpOZb
5Ay33M2/xq2f23mSZ+f3jP/PwRobQ36e4NO4I9Tp2v7a/VkF+nfo8b6j5DH0iM0ZGlOd4zIk8JIw
eDc/tbKYccWlopKPQUYCj/eP0COdQVAQwRjzcdSGiRRIoB9amcC0QJg9q0CHwso1iGa+xLuCZcNb
qAOWgBhsnIVhtmABwIjs8f2N0KMfBF7pRRW9BPESe+CE5BW4M7XJw7PYj9uMWLgZAJiaoYx04FH1
w02dOrbrJe4FrQOxCr0ElGpuuSj/GogI4zctLjNXB02fgf3aJOo6TqvhzKV15J/mVU/ewwB3g5/i
EoFHopRRXccOdc7C3kTVnIRhgG98oSJ2PrhDVN6qxDXby4JmBX+bxdGyMZNo7TS5b6eJX0dWzWQd
LFEg8ULl0m/eQfyhOmURKQ09DF44zEHK1V/BlQDXSeQeOie1cs6LPA+UlSStN/c6lYNfCYZxjXr/
nFc9u3CcASzvQDkKphAnnoJH3mmHJeS9BytMvPqNR/gYVPsqQvc2MFk8h60msZWZfJ1V8dpUKQSF
mjhnd23lWxKEB8nd9jQZEF9UoVF/bU3X1A1Bvm+1YY0t8EoCXfmV/IQN8GNU2Dq3nW82JyVNyKln
ON6FEZL4JMSFuBJ53Z0OWZYvGW9SqwAPQcchGAVcZp7uoFRFq8a5hMPNbFCDVtmWji2r+FzWKoUg
ciEue86H05BFnvaJijRT3lL4OQSlXBJq2ssAlmbXiRZJaGdSrSXzjKVshpMIq2sa+Oayd8BRNco4
1K5TMIgtgS72mGOH4FVBNJEvU6zADak6q/KK9iqkXWUhD7SUAjfOLqDlYh4YGblGbhjeGC2n7xLT
TNYBYsVZnPvJp6BhheX7+V3SN8H/pNZDtoSCNfJrqfVzbtZTX2L84E9fAspDwVkgEE5nMBUfBOGG
0IIwAhjYAjJyVCHQUj+EFmyvFkpAOgQKvkBCcfAyfggtCtWmHOxrZEKSAySOfInQute+m77EmHsh
EHDlEJUiMOps1KQbMssjYzgIrMXLIs3zTFwY4PJDzBO6LcoY2YoF4bWqCQ1tz3Qw5EbaeljgvsdC
95XPr2WEous6zQ3dxhCr5TyB6GZo9HZLyuQ8dlR809Okva47ll3AXsX0FkRie0biNrxhuC3OWRqo
xKo6sXaIz05SMHkWOCi4B9KlSr96kDdS2mhUaBdtBg9WtAwJBhM4Svi3pjHxd4P6A4RBTL+2lJek
OulxpKHiUg+ZmdsdCYjmCGL8vifCN3FcO+9JoLx3dWZE3g0KIFJULiOB8wFEgAdWUEGlBOsYi8Ql
cMEaNTXRDWTECs/uW5n2K0g6NW+LAssW6bQgzHYGs0FXEMEP5jH38+CDEQw8hiRTKITVjWEN3Ra0
BwOv6fOvYV3TU9bE1XyAdIwtQNoUWX8mqyy3ccI9GzWF4udNRouVA7KB6NjrMw0ZqNLVRt5A/Kr3
E0qXPS6D096D8IydDuzdgMtGnBCIHNupCG6rIPLOMtOhwyUP8upU3ovzYZTsfcGTgVoeALO9jFXU
J8by/0c7ZvO5hhjsb1Onfxe/Pf3UhiSADCeDgZIEJnXAI/e3KCAgJMBKQTAtH0KzgKafooDBfFI8
TvUAr0QpWE++ER0e7RcgCN0ugEnwXvBLRAGGa2wYzWAkKZiQC4s7TBgXQUFeTQz1aqBpltd1dwVe
r5o3kIPJdEoDSE+Gom3emgbvz4KuScI5QhDShDRR8yFkJeRJS5XknzZE6TMm/LhAZsoNhMpHs40h
BqG7kdsNwQT2eBYqr26uSJ7gKzccEkfXIjU9q2uqVOmmZfUX0WSGr4tYgs2UBwWEIBww8hnof5Hc
qapC10DDq20SRfjDwA2Jl73JnTXuDdwtfs/xM64sDNKAeTsKIvkCNu+NmelNjn3hwdn21RXtuOva
ZjdEHxoIItFFJfqU66bvcGD7wpF6EGbv6z5EdAnB1h5DIDit7ryuLLHlGxlkHCs/bSDl5yFQ/wUI
qbkL7v2bsFZncam80oZqQfWx9PLzMGp5N/dLw7z0C6+JH55kyNc8nzN4egyCwfQQOAgTsEHvv/TG
lxK94bZGFpUQkHDUx9QFq1yzkAA0sqTu3rRdoW4yB0eff38zR6xtqSUMU6+koIoAFuE/I1sbl+Wo
c1lWuslVIgd8hUOvvkpKMGCk4338/ZW2HX8w2uFKCo178kDZjtmR7StlCeuHvADHX2aIrfI2LaKl
U8me6DDz5iivo8GiqJepFVDexv8JNNNyBfiWZNzTx0APw8LG6eUhJgLp7ST2wQoN+SoOar4Ko5EH
PsTl3CzSVPcIjn7ZRnlLdB6mYl1FqjxtFRjWnUkLZNE2SEMIRifxB1pkkLTxZN+vM6PJbGQMsbC4
SllxwqkJ1Q2/v3vjTurJQcGIKRAb0NpCIIIz1pdsHhQya55w7hiXuHbilV9UoKSwEVYJA7u3T9yz
1vPDb65U2UU35N7CTFnnWwQ34nslhiG1eshnWmAFNGu/oOKu4ZknHiLdv8Qwm0R3fnhm0Kc+7l+H
p3Ni5ZiF9KGCAjyzgOWZo6RdKW9YdlVH1aJq6toquhy9beKeQwTe8yDLgpNlSYpsGTFw28Ioj99l
EY87LSLIx7dBnJ72ZQUpXZ5nH8wylLaTJw6kboPA135Fg1Y7EMu7ajOjvM6Ngc5dF6tAG4OTxBZp
vPiEm1X0jgTuG7dPaKejWuRXlZO/r0hsjCkEAjfS7wnIBlYPg0YtVFxEHpdfHFSzM8+U+GJwu0ZZ
LfJYbMHT5Z8asgAzo+3lYGNIlNhD0N1mZV7d1MiAtHwbVwJim3l9yhxC3ucebsOlIwzsa/DtnG/Q
qgLeqZ/kxtc6FrGdZSU5DdMkO8W5iu78JjPhuadxeOMrpxO6yZl7VjhFbfVwH5YQAVfXORiCc9YW
+QLjDjfziAvsWk3rytxqIOc4j0ta2HWmrj3HcJGNcVqdgKohrZWgwNSyEtHnLkbeOSlUdsNpxZe1
CgyyKM0YiilMyEGVqAuGRRNKd2F0HVqRMmq/l26WcQsS45AgBNutcRddFaTwcLTtvHebWi4KyJPZ
4J/HJwn8VSifYVA5YjZxI3RQBoFhCacVWqSQGNOsihxwxY0kXhZmOHdZ3aO3LcXM9ssCjUUBLK8W
tGpVueyo6C7McBgi523d5lUc694Hq6q48xyPkOFL2RqdiD2tChDl6S3p46CiBbhzdZ2hqyqs4rCD
xGk+LBtVV85pXPhQsRCQKL1BwqCnQU9pDalIBcm1PkfgCQ4eZIzsBPJOnlVFYZtDHLJ1kVVEFXau
vRyKrdKTsBctGK1dpKoLs6woIKp1Uly2Vg26cGEaXuBcN+BimK6Vy0wC4GhYxosk8guloxyUlzPv
Gt+0DAf6D7juHZQwcGWdOIaIed06izYSUTwvHbAKFjxx48GSAweJmZCQ1VbsFUYEQbTeLd+UvhHH
89T15XejboSPbJSSaulDwEFeccNxnbOEikpAAUTSlfnQn5QwmLvwoArFE/HcKRuojFFFmfiLPjLj
/gRydXFmcdJHviU63kfLws99w4JjJZ+MLB6wDf5OGNvwLzKuowAZJdzyBHzhGOolTmmhqmgeepX5
bqgrShcBpHnxudd6pQBX3SNetXSKJktuQBnTs8AdSLioM+BgnlaRC7lT3A3KkkGfgRUte4C2AY9K
YTsY12cF5TyyXYe6tS2SBo7TFyXYJ8kQ0GEdhVSZtgQGYhscAy8/xQi8H9cXoWlB1Cantp/6jj3U
Tsi10RaZehM4bcAsCv7FADmLYDDOkROxBc4clwO7SmRz3HtDeur5uP0/9s5sx24cW9pPpAORmqjL
lrb2mHOm03beCGmnTWoiJZGiKD39H7LbPi5XVwMFnP+igXYBhXLZO/ckkWvF+iLIiyYNxZxtfy8j
aYUea4IWOuRurrw1M67yXkYcTLsA2MF9BNpqldVaZcyGXvC0tDOdbuI+XdROpoO5jiaJLYnrpMED
0i7Ap1VWgsiPK2mlOA9L17q9nkGcXAgavKewhqATubIrM0Zw8e4n6ZKg0DEIgaybSN3t2mBodM7m
sqhINXxs5xmVRc1r+4jZyPypH0VwtMnMy4I1kPcyyUr8nKhVtdvL0ZKb1fVBeK9NRJ4AV+FvzLGn
WW7IkrjC0q6ujqOjFDJRwjW9rbwkfZb+sF2cdT3oQ9Jqoe/cEkLS8YcZ342YJV6Y0lh0L9jB0ueA
+bi6O6ySIwiz1KmT0WlJ7+pxapoHymQanlxYz9O1cWYrPsXi7qLGix3GVR2eWqkV+o2jnVmhsSfb
m99e+oz1Ca+r78hNiI45vJ+GCB+VaFSz5mljcev0LW+qezkmuOXHCVUBx59hTaVGituBhMsos6AX
Pr7ueXTTdeeJXmeVPw1u75AGFxSLHei2aOBmyvGOsIC4lGx1spHdc0mD9MxsVbGMCQiVuVt4/DrL
AC/DjfXyEBjngzdDmVtfVC+b+pFhtzho6ZObIeXDx9BHY5uJUFT0rBhPp0spFLe7ZUyGGQXuEhx6
io8195Nh+dy0TXTnJu2r4+Avtnk/xx3Xx670uq8L0EGsIdXQih36ABYUFV2E3vdxl77HOLzbQzvl
mE+EWOaWcRYPlTL6knZNHe0iCvoLy95GP1hB0+ex9iwvWipxm6xeGaSnUCoyfOmwIKPLJrikinlb
sYs68vCJOrvaApvMPFzIONE4L1OMPbHTBoAzk3GoX8bUpk/egjL9vKZmJG9Gy0VnHSbH9lTNQA4L
14HzzMOZx/zU42uZc69J4/2qrDXXbknax9pinMASjQGEs9FxnWN8OY1P9Hro20apaxm78MozfqgK
McjOXvgy9yJnke7EEyoR/eanEssIlk5ts0ZAhczS2bIBu8AyPLZ8INUHotaA2WxFBba8603gpfhh
uhwLkXgNP3tlP38S3Pds3iY6bk4VBtr3bsP+DuM06Kqo1gkXaUVNHdy5pl2jmy7u2zYbeuvH1yER
ocsXVDe6mEWPb21msuLZuCYd1g6t24K4wI0721I2HlY24OpvQseT3VIuvs7LXsfDexCe5KkWI641
7HSAFFve6TuZSoIFlvZpvWediOfMTR8pm2ZGsqaxybuIymEG/8FNeB2WLbMPQ6lTECkcV3QBVgjf
JhqHxV1VgWnUVTL2Irijzm/jU4mZHN6Xcx6/bkavn3edLrFmoBqbzHXblnj9Y9rwvRasEbvZ+f5p
GULc9wtorirDTDa5/lY6/1/Peq6rz6PS6qv5nab7j0butlzjXzqNP02E/tECIHx7/VVL2STZ7w/7
oadsKDrkCsR84HzJMPhVWsXZHQHk09APAuoDPUfb8kNahQ0CyATGveAaQkgx+KMf0ipS2yMIqjhN
CJJsCEDo7+kpf+qdEwg20HdxPBFg9HQThX/tjZjjQzoxMd3WlenPrE3D61G6C5Mtpo7T+BwDGRtq
0xylStr1i1B68O6nZUGNt2LMQVx7n4peZqZZ7g0Pz0p3aj+0usrIukAXaIh3qFqLCWov9ryx4oTi
0895X2KCMGsu8tQOct8lfTs9Lrz/mIpFZV6coF5ABVDnPQXbbp23niNAEOABlw0zmtpmB9TVOxoQ
SDwFilRtUNJCFJoj0qSndkOW+g1eohvGxL4DTY/9N8KJbbBTv2FPdvT8XbKhUGqDotoNj6JxiuUC
xFTzDZ3iJI82mCoCVcU2vMpuoJVtV5d5G3ylNwxrnPUN2cAsA0JrxIx7AbEl/GVHQXD5Ib/MG9Jl
NrirwlKYAQDO50lPhcQ3jHmKZwo8Gf8KAj9+WdbalvshGkSGngjlqtDkmI7Tg2iCR1b7cjr1sfDM
fUXkcERXk8tBxMchWrR8jI2fjpmYysRmQVKGh4DMts4w3f/alNN82g6yOQCFbnZrJ++WWt/EYX+W
rbgZfHphxtsrPZ+9LoZgi6VmwxzrNY+q/m2W9KEy6cf/L0vMfyCvCxnlrwcz/2j7Sn75fe2IMCrA
/3v97lXZMK6QBkh02QIvsUb8osXivEkAVvj1XXHFQvVj7WAIQsQvHAqzTWA2r8rPtYPhqGyMdxKE
IKY4Lh0K7t8gvMBy/aarAO4CSYYXCKNeCOUNz/Tr2sHHZK7rgLW3Hhk+8sqgpJraT2SJTi3pZFZj
cqrHqUgwZ/AtQMuAA3cH58E6lKEzCNtumz9O3MvHZKJ7Hvl7XwWPc2VpwZKNMOfLlW/KXewp9CbE
PFeM9nlL2isRDW1uvfHYNvq1ix3PJhK+YTyj897reM4jd3HMvmHQCrNHgxsRq3ARLzbKyCLXwp+8
djd2mEti9zZ5MqVTHi5+nBsll71Uyx3FvHRHeXuZXBRk2L8/YJ7pgHEtb8qPz5Dp+t3gZJ9xC+NO
B1tMJCBdySS9W1Py3pYrRuKsaqDVeHPWJga/jesqX3mPaUnHyywpTwE3e9hQymxAYZPR2T2vgl+b
RF76sr8IvKdMLdUIgwN9mKtmZzlgrUbS65LQp3JpDdYhkPvIPoQQqy20nsZjWRgGxy5Yqrxk/Xsw
cF4e+wufeB5hiM4fDa37F3QTz8sazhezYc+BwYCJzJAMhvEFxppTJZtD188xhkuRysIZa/IUgAES
JbsWnD4Hg958QPOtB725aJpp3dFo5cWaolrnY+odPDU9BJ54i8BWH9C55AT9yEXFr8a9omnbh338
qpdAHabRP7ST5vDGzJ16TomQj5jY9c2Xiq9vswOuFoATSKZeJVkzCsZeR1LflLi+T76R/tEZqm7p
WKa3YVfq85KWeZhiZZ2T+GjGpc584Ve5CNPlJqhXFEqV6uYDNJ/3s5x3SdWJ68CpL6gD6dFXPMV8
LWZi/a5C/l+XUv+B6xyWpb9e5zBzesXpV6/6Xyx1eOCPpW47P3cziaOqCXz8C2XIjwn0FtyaRoBZ
v5ny4Ob7damLtkRPH7ruP215P5c6nGoEqgTnOjOovlsN9XeWOgys/rTUYfYNMidGXUZBi/1WJknO
rG0tU7e+3/Jjz8uD4LjTxmC+TIldsJdTfeUmqg6BvwaH1E13sg6hysvu0whWEbYlfWwXERVpMC45
n+Mgq0Mx5JMI16z2ZroThnkYKMfrzptddzfw9L2I1jEHHx/kzl8vEBeuxig8MpWip/TEYVj69yXj
Kl8Hdr2OC24S1dgj/Chn3tUDuprovLKqy3iYXMc0fMcj1B+mYvfpnDQ7OVb3xh9fKcAy9HD82XZR
n83Q+qFuJTZv7Hody+S9KyGCwE/yIW3V+9jZS9qQqzlpn7wIzirY0nL0u+/kCGDNI9Aty/mSYNYr
Zb0n3PtIK5dz8KrGHxLsB/1Vn6gPlMU3gejqTETuYF0kYS4LX03LAJk6ICpeAm9YvIoMBWa7C0YX
Q9gbloIxORXW2gXSdXc7zg6iCw+OStAqc/N0M28gLV9ncoCjYV/Hw4NrbA3MCbiiR9e7oIw/U9M/
NdOyR9PWwRMl71wY7xfRnSpoIPB56Lt4St6JoeRFHy4f4gpLczVH/Q75JU0O/5raB9Wid5ImBzOu
96OTyZ6I9uxI+0WsMAoyQ9/FYiTo+WmZxyq9rW1Cb9oyOTrGH4ebUJziCQvTzC7xAk8LANh9lVis
tAP6W7PWhQmMRb/LPogY2P40SJq1qjpgX5VZ06nPTRKrXW2wutGB7FuG7tXnxWKWYwV4ZoMqP41j
8AWByV9m5fMjH8KbrfOHI5RjWmO7ol7a8DmIGoicC4ObpqzgMRrOXRSf2ohAThP7kfFmT6C0Fotz
NKc8Xg7s2zoso8kUs/Xuq35+S9dmHvPIR7Xuj8NhHUKN4n04h95AAYjCthgrkSkKKlqyhO3CkB2p
x+VBje4VGuATXBo7+C4Kf+sMcOniOkrfq8Bi/j8Y+ziEZCiqlLuiSSZ0Huhzc7JOpDBtDyNK1D6k
FrNMWgYZJlUnmcZXpdUEgNRY71pe475I4LZgdU/2waAo9svY33ttAMsmxITLQuU9wNfPAZ/De1N2
D2yEK3abW516OOgyYWaIJetU6FC1GffXW6Vwp9QdTKowTNyVSXQlOt/f9X4dZnGND1DGL8aQs1b3
VRj22TiyO8a68uRidePgOc0sCJOUqjcY9PpsWOrXLuz6Iml0s/OcBwRrxfUxRwMmmUPEd2L1DsGS
1+sL5cGbHa/q+gRavKgUEN2hxGVgu/J12ZQ8ugzX5doQ2Dy8R9eHR0mEh3ZNPHu8+dJMuGWoVLi2
+2ivUxRhHrDxFNAgFJH2CROir6lVc84drrugTQ6hkrwIMRgDWw4OxPJBXnnURddEdk8efLE3zkJx
xUykLpJ0LXdutV4+laXK+egrKJb22o4NDK2JrLM2rR7FiKs5Cjk5jW0tYPfBNw4dFtPMZb2H/zBG
7wiaWHd2zfvFewjgH9j5mwNXrOCdPRtjDtM05d4upt6pwYRHOIScDQWYQvysKRjuuzC4tEo/+qX/
VEaV2hFqzyWwzSJYV1dlWo1jDb8XGT80aaTnItYyrnM91Zdpsuh4jA06uq/mUqL/rTSMSlyEV//t
faCAoIvBJv3XNQEmGOZftT540M96gKC/QWIUcv7hcaExsLOf9QBgE6y0QM8An/0Bo91OWcZRQ5ig
/q9/8YdsgmMDMFOF1hFFAc6qAmH7N1oflB6/1wPb6D8G1LIVGSHG4n9sfWzvNEZJIrjVLvTz1dnT
vIRgo+ogQPU47GE8nrLRLO8TCllB8/AzmK0rky7NLtrU4tqhMzejuBiszpn05bVX+2PGwKDunLY3
boz1LkxHlSs1fVpS+VFUWN679qEJ64NczJkG9GHosf7VwwK3IWQSaBb0SnYYxnAveacbgJ9t2hno
uOU7OCffRxhSZVD7XR677jbiwS2Z4yId1Dlph1MTrcFpteDQp4ay3Ap3ANACa0b/FdLNwzTz6CxR
98CS+4lVC/yN67OD2JOBUaVZgIEQMgY6uds88r5D85b04nkm00uDGzMXjTjSScmshxkQsBgmi8Ya
iWSA4KbphnPbhAEAtPHrYAXJnKdMvrbsturGPp/5cFtHtj+7zkB8rUoOtxrSChox8jz1eXmjY+Xv
MOxbYS4O16+M2ubGhsnntcKH25eduKeQdjOhxy8C8sh1rdpTlHqQVmm/HITU7FZXDkRvMuNbQ0kG
KNbwvOncjHGPFAhZIPEBpkmexSOU8dAl/N7nATmsfc2zAb7qrJMB1st5VlnVBbzwl7Y+BoGD4bqq
6KEWG6KxAjiIHYo3XynMFUqyI25B9xPqag/eutyHc9AWY2fgmlFBV8igvoLEc1lNfdtIcjILX3dV
x76WK6bQddKFhaerYLdMS12QMlkOcOq1hV8Lhg+CLNCUhvRgaqzkNRjhQ0ohy3d8BHOBgdYDOiR2
mPpIFPAV1UffL8sdytwA/ovAuwf3G2bdinc6uDjOKhTHe8Y9k9dADLNF8b7wMCaD7t1U50jr+cCp
eFqovpsmXxbCY0umTP9JtbDQViLGaHZIw3OfonPkZEOL1u0jqqh8mXVUv5OYCWZapPK4TOCoqOMq
a0tJbiN4UTPRr4gRwOeeBaM3HdmMPk7MIaInkql6g8EpgU6VlIXlnXf0Tb2forYoS5kCKAAQ0KVy
zDBF7jIW1rBa1TPbjYDL89jW8f1K3H3tpod47ppC05pUeUvbG1AF5ojB01cj10+GWLE3PfjSNm3H
6wpDhDxw8a4dh/gUL3N5FXuJPbBShg/Um56rVBlv55vJoVegDlb5auo/z3hVyeohakPUbaaZGA5e
tTwRbyZ7B8ds7tv0LDsawyizEDDdE5RMjSQJcCgYovOiktI7e6F/rILgndW1yaGhPnVDfU5qeQfz
fe55ybWOXsqEXiYV2w9L036ZY3PlQs/LJFrnHZun+WrCdnxMUwOn2giVgjf+FcWziV5crA2/Dhi4
oshqr/3ZJ5lNk+eVgZep6pVBaejedAKIBjP2k6qXe3CJVzD+AvDYTMGyY+rQVARDRSvgGF6Uyyy8
tWDgupPUUHASHUT7ZcFXSIbudvL4Y+vKF19NH/sQywPze4vYivFSzeTVNXFc6CYAn6EV35OJwJga
ADIKx8LWGoXrijK+1fZas/k9jAzQc73wLnWI0FBdIk+wruNvGh91QYNAk96oy1T7R8xmZG7hlKt9
NdxWqVmQ5lCjhXHpzrjxiy7jBjBstQMeEX+EdNpFhZIOaSDmswqTk5yiDxjJRKeqQwrCuH4CSAJc
Qrkj3nS7FxSIR0fWXRsnN6LGKpMqD6aiOW9S+KmtIkdviI/LPOxqWqHireZ7ZMpcwcUQ5GXVfjIs
PSYyuCG8P3jhcODAJPCd5q4l+H30KhiMBLqavuoquQN3ZQqrlpPpQgGvXJt7YXOP0baHvWDK22C5
CNPed6m3I5V4asHqiVgek6mVu6mrntoKHhD4xjJZ6iTrYJ4sge5ULXwM2gGdpDnkyS/llmmCfQzx
JppRze6qrmlzHssHf8tB+W9t9L02Qi3x17XRP7rXNzX+C7EEj/pZHH0TfzfCPsRhedEWVPSzOELd
hIokhjT720gJEUbArxG79j2k4VdEF4dsEZx3Abzwe92U/K3a6BtD+isXifP9EPSJAmmr0uCZ/K02
Un20NtFS6lu/DZ7gKX2kOrp0ob5vHMqVeSvTuY9lmYTHelnqXbeV8uVW1Bs3lZk/wEaULFjZQX48
+CEWPtEnJJtDg0CTlUCz2LqiFD9LJkoULdq6U8pHusXtPI5bk7FKxTKi3LU3oAHpZI0iYmtKPBeV
O/A7ddFa6qE+m4cbH10MjqeLrhO7yquaIrRExTDi8xKSJN36H41xENtaolhgI1pH+SQkw6xo65v8
UZ8GNFIlMxyrFPCQJOy+ACJ8BoDlZS2NjgptmLf1Y+Wgr9etQ1sj/gmiVZ0N0YSgB7RxcjzV5Ips
rZ14HYPcpPyoFAqd2YLsH7ZeMME6vpOta3Z01X3Ro2WcV8jizoxvE5pJYvo5S328odGWJ42Gc4GN
N1tk4a1XE3pRF7KXCL2p2prUdME6maJvHfmI2xiNbGgZUGpHbuG+3ZrcqSDIXspNkOjMcK5PydYU
A6t6oFubnKJfduibtWSgKrZWuiKC7OnWXuvEotGOIf33pTJFu7XhZTOTbPTZFUWHvkywVEYwK9RM
QqDRUEK2dn4IwIEyjeFinALQg2FzKPgmAHDjY1GEJsA9VWdIfTgMfn3WTfIUpusr2aSEbmkyA5m4
tgJWAyqaDN4EkfVQH2bf0jyGHhEQvJcVCkUadHXelET6d31o5CNCt/DEo4Z8rm7XcPyMrCt1ota7
wwX+mqpKZSPqwLNoyIdxsNcjas2dh0piV83BF+hOX2yyLHttHHp5zcojWK9PHW5RlNtU5A0mkOgk
p8eIcn3pmH+2df2xX9PLOhDM1pQ4qNm7GhZYKLQPKchwmIpVU84ZUkBuTL3i9rFPgpefBpGwowxA
19Ve91iuAcxfdHo/BMlpc/IdWaTOmPC1GBvE3Z5peYp59G4Uvjij3I6zpl4f8TPnK6SLWcA2ShUG
LtP8G1hlRxByJN2+PAexwY/LeEfK8L1WNWTIFcElWkt51nRyufOwoYulGrD1tijWnVYfuF/yoxRi
vKvjCIVXAG8LrC57NnXPMB3XCGYSYFlqlHlUVfiCelmUbQ1dpWpg7lsMPelqU4rqWOxGOp38lfmn
gYlTQsr2EOO1ZEMcLBmWRZMx8Biof9ZMDfCjm+FYe/GuVpAo6tpgbtx6BHdaaHJwVy5bQpHA3A6n
cUhAzuE/sIne1Qh2Udq+I66+RON0VgE80uH4aBPIiKvuDrDhNZnsyjWTDbmxbnpXKYiVUHLvunC6
b/j8zBp3rbv1gy6B9zTg/rNO1c9gY8+h84+L1k+GxX42TBIZVUoFWdq6q0YPReKPat8tkDzp6K7L
Mbhv5NIWbiZFQvszneDGW/T0NYzKl4qTWwDIN+Cl7xACg5mW1Z/KMoLfrlk/tAI1dTgwVgAOe9Fd
gs4GKllmaP+kRHhxXq8K2+KqASC/NM/wcUbHKowllOpNEhEKaOcmkvx3C/+2hVNsaX+9hW/HOv55
A98e83MDh4SBmAnwXgnCLjeG4383cPo/mJhB/vYRdYGh6h8GuwyMBtAPjCK2oCU86oe6gXSmLeoj
CYJ/+o7/1g6+mfr+AMwjnxA5B+G3IHeK89+Bn/w62B0H3cFmStdbwNXIBaMGDXEKz34fLe9IPRxK
wT6HMxl2ZT998idcntsE1nfhBWFv7W5ovHegOnZ+tFxHK6zBken2tGxN5vPqNq7a/VKyOwxSYCQh
E0WyjX9oXHo9B7C1d+oAUu841fQWpEOYsXht8pFjVzfx/BhHatqbgHzxYnlBGdJjShHy6yRutuiL
BijnEBULNcgI9PxDF1QnP0IYWk/Zc9IHd5q2t1FqqmwapU2vAts+N9C0S9dgxBul923NHzl4QBn5
bLdEtcp4C2lhMSFUdF5j+556nJSB51kie1g9CBAB5qpeTI6d1/h7Dj0RiUSwGJu08hHEx/vzBL9r
QfsZKY2Ypu+QUJJXbQTrcvuJT9XOLHjpvdWHaUAflivIO25FQmDii72am+MoZYE4qxTpeFgUw5ac
6KIugd9WZ+JF51Iu4HtHv8/LJrmaQenl6Rw/ArTDTIONWP0kxgo8HUP4IOOTnJGUp9Y0ziIdtSeW
ICiyQSMrJRpJU75ozp5qj6Gr8YJjuJRf/NCXWQeiDoBTt0OfPmcUbdAWgYSpS6nRiHX+08JSSP4u
OmE84XYh7x8IaY+oOJIc5CbJ+QrAUyES5RTPQBaJ3yCSq073lQQCs4pqKQZwwlnEm89wNaAvG4jN
jbdSJEESWJGipoCroDp4PhE7zxB/b2c/bbAO0+66iUtsc5MXHflWscwea049Q+OZhGgaMQzPcKBo
DUUlaofjqLkqH9nMvDOJxRsKir5gZZOe4aysctKOJ4R9PAHrHjPf0GPoIU6xM+hAxRQVlskd2kZ1
kWy8Btr9VTnICuE6X3xnP/R6STLQw88THdBVB2mQ27JHoBTzi0SjCJPuquv8EFGO9f1qmIW2xw9m
jq7lynBLeM9mJj4IzfVY0x6vmoe36LIPEyP7qKplpsNGZWmjD3VCr9oYO42fmpe1ByDvN+9Shxyv
LipPnA7RAdJ4l9cE46SxVnpfCfma+g1m9x46SA7TUJpeyzY9ms1OPifeW1VW75S3wNfvcQQbUv8t
qPpncNc7j7do+5DK+2rHqPCI99GGgJlmwzA3R2wZMv2a+7gJX0xvL5okb8mqL0vU36wkvCACBqCX
im4dSqFrOXaHFnxz0SfxBRBmDhEeLTcVDxYVZ9ZUywtNnhqvCBd26atqn6LFh1ZSoULpvafKog8w
TXvPqsTLqRo/9p55qOOpzKW33okIM4c4MLtgLnddVReeFx9XDUnOlPWA2RT4rLFZslak15CKT4lt
oDAKBArgW6czwn4Sxw9Nt76ksTV7g4TLmAGrGjG28OotiHK4mub1lPbVJxr1PhJKyY51c5r1Vf1o
2uhTOiLjZnIawZ1D8gyxTOakK3ETK7GNikzRDVgLs3RtHTBleCy+R9X8FzLYcir+eseFcWjS/2LP
3R71c88l/4NILGycIfya3yzpv+656FN9+N7RrX7fjn/AVOkWJIw/wlYSMR80wa977oY+geD8vhv/
zdjDbff+fc9FwlBIvkVzMfTvf9xzkbDDAeWX4W2z9slyWmOFGFErAlPeAvgOEGLqwWB0ZFuuqTeJ
x2VLOm3A7mEOjTWdlHGVwX/XFFNqQizUnX/05wZi35acOiFClWxZqlDpXtctXbULYNAcdXxpvyWv
IoK13qJYt0zWfktntQykNdsSW6sUowhwVCXMSA1yFrdkV7FlvIoY+bVb6itJqvcWMbAV4mDjLRdW
uZ2066EagITZLTm2QYTsilpZIVIWE1UkgW0ps3TLm0235NkKEbRpPd7HWybtBPkTRTK9Q0AuUm63
5FrYK+QOFYSCs2n4GiDeFkGrWJi9pDDLF1AAEXbrobBbIm7byWtHw/e95GinttTcUMPPNgYAFZqe
IPhVgdxYWToi6sRdghULBUUE7wRX/6TshSCal2ADxglvBx3oYoQBC5Iw9iMwSUjeCL4Y6GFI60Dk
hp9hvHOFjJTjijIDKFsJ9DJBcCw0NbaJa23bHzuobU7VTy3UN2PkfT/6FwFVDjw3XAFRd2/xlU6b
cOe7apQH4xG2Z3F/JlH3SSKtJYcf9wrC8BU8OhLpkqWMzyyg4z1xGBq81GPLaaEDxeW9t5qlP3QE
Qh33G/8DUFIkBse2+UyjAArzOAOcnz4jnHKP0pTnM8MfV9P8BeMCndeIZsw6645mETehLFkBFGXZ
D0Z8nT3siDVbPiK95sms7p5Y8gIn59lX68fKIlkljnRQJDx8q6g7zz5fXloxNBmwYngnAxAmFr69
yEefFo33MDAck5F5V3AUPi0V3hb4X4gunN2WTgMsFiv6nmg3CQMVtonTwsSLf1yTr6RWIew45tka
eDG6PqS7Ft6ghiM8KvIqWP1gmuxJBLrPjrmnxGfeDGveTsu6ZzOUoHrhB+rpj8hZOyrcNoiJRj0D
bxREdr2iHQbTR+A7cHNYorLy7rAzfxiNj2DQgECsrd9FpeBwVtEEcgiaUVg14SQ4tkmTQGZQZ4lx
cibg+5oGFiFWuvmqhbntu/DVakwJWjTCzVLfQB649EjRzMCHXCRMahmyL2xeo4scRYUt2Nj5MDgY
EIzANJym7ats2Mc1UUXXRickLXwMmqB/XL0YvIxgsGfS6F3iiUcHbQsB0x8GEVanXqSn1Q2XkrP+
gkjrDzEGErA1P3pxfBIBu/VSfS/8+EsfrjddNx4bhWtzjZE62RM57eDxfLAWgj5sMahXD2Mt0gLV
usxw98Qv2uqToPX0UDKLZBnZ7jE0u8RGN//Vgze3QOQH/7aZ3I6H/Xlw5p+7yu3BP3c4itMhEcOA
kAbYnZOtdfwpCweI701QzceIa8HkGtvYjx0OVgOKc7ugDf981I+uMsGRgIGPfe+f7N3fYui2YKnf
VGFMyuMI/+CHbkDeH3rKqPV9Vpfjerua9wMy4yYINb/s+Xfff9avufp/7FqxgeOnQh3bjAzYmf1w
ewW/+PFRB8c9/HYEM3louz58eMA8ojdrj//+ef74Tv78PL91x8ojPVq1CIPJHsXvCBTu7d8/wWbv
+OWz+vMz/JYswAlwrwk3/S3dDMzhuyT9+v/YO68dubFs2/5K/wAb9Obxkgxv0tsXQmlE780m+fVn
UFXVlUpVSbeAc3FxgPPQBTWkzIhgkHuvvdacY1Kae44E5wYjmCp77fBU9ds+vuwQDyvxe4K5IrxU
yyu6maGo3K4+mAaLVFAg/rvqkxuRR/4Igfvn73TBmf30nXJjfbzmWowFQjTLtdBWwQxPpnroB4Rk
in4hAiiEdM/i6avFqL3mj7YZez9/A0sB9sMbUCAzLuEMkAU/Ay0KO1S6QbamC1RvseIpTpMdU7oo
nTdV+Og955tdArvFvoGYbPTiWsmQNQsUUN6wmCuaxWahVjB0aLvKe+F0fbPJ8kc11/YikGmsqVKi
3I20jDda6iQ2aMXOxZ65akz0YejR1AHPYzf5Q8eUb74Az7zKqc1KgEO9iWltdC5zmPtzsg56uoQ0
19tbztmwMjO3SU1/QGCg0m/GjetZc+ZOSeWnxi2gk9o3ERXMsHniSfF6pT9aMn62ajvVj22Cg1ti
ECoK/Kz6VZKckjHfDIVa3uXwCyv8LKuSvVo3fT0B7bioF4w41H09rm1fthEPlGn21ElMx/O5cR0j
oM4Lf9c4/S3YQPtMj2Ac9PHB/4xsEbFDl3Zs5wt5o22D3XzsHrSNvWsuWlc5dltAbCvbd7xprXl7
QGDr0h+fpF267jbyBl7IOvnN0/a3b+h7x9OPDxcq5I+3rJ5BMciXW7ZMd6hIkIDT+K/XtfyL5eiv
7syPy9GnBQ/d7ZxFEa8j0S++Hd/q0IP/RLliBr94CJTvL/FvH+njQ8Cs8ONHcnhiGs2J1YtI88hS
GDmC0jJzcUBSl4UX4lcf7a9WQAVFoKxBI4UR9GkFzM18RFGpqcBv0evOLwxKfv5Y/9UC+PEFPl07
uYjxo4eqetEOfm+kHDq8dvwlT/Wvlo4Pn+LTKuuMjjmjfFUvnIFBzL4zb4Fz//xz/NWW9PFzfFoe
J/bqBpeJeoEsjb6LcGXz2knODt2Aby/0333w/1uj5vJCrx/iFH5/4cXz+P879oBr9vcn/zVCjOIv
kJwyP/VHXQQoGzY0ZijglxZ1Ad/zf+oivAXUuirliMy/WGhXf9ZF/H8O90C0lz78x3m5gTuT+axl
WGBxFGyd/6TbTsv/u/twYVqpjMMY2VuQspEn8iY+Pr1pjtJq7ALrzMlnH3b1UJw6oU6ml+RDVUE3
iPt5Y4u2hVWRh+N96SzGwtIpkOp0SfQ0au0NeIbJj9oi9UTXb0DF++kcIq+RCxW+e2a6pZO8UIzG
rlYY8WqSWjzZOKdRU3aemUlPsACu0Q4+iL5U0qsO8d4Nuq6tI0am7AESEsAUoRxL5zQobAE3rkan
JoVPU9VFlwEdOvMyyibr0ijsNqKHyWjSNXEilL4R5HJxa8IIWQeNE4lVOypBd1FLbUSrVM9b+Cup
eEhVJ0IpmZbbOEqSaavKzQmYxF70xrUR6hPil+JenrPbXkf+U0bVq7pYG8yof4FcEHtNl6yAhL9E
i6m+kfSz2au4Fcb7PooNCCvSURokX8p1KqJF0a9XFc27STCMLCx9pejRAwJy28vNFI21cZPa4iJJ
wFxNUvxGBX2b9zrd8CRetTkXxbC7K0ujdQ/ept4Kfr9Lsz99njQoAKmIt/LsCL+ul55sZt/WmaKu
yyItUGV3kjsm6jbCEVYMQ+MD6t1pkYZHM0egCU5hZgqcFis1oVGKdW2vVepVoPa5N2sRfgdd3ZYp
9YBqp8JzplHdTdDCXamX3+TS8e2+zYGhGAFq+XaTF86XMCoPpmMdWo2eR2wjA9Nmh4Qc1FBgutZj
IL0ZzrzO5HGH7ewcNgjmEIL6VTOb27xYsgiC6mtXSo1rxiJ1eyl/FZEz+sNUPHJLdxxOwfqZOvJM
bq8r5Pqd29nluTMSifZ4cAnd5coImfmGkXIdVORa9RmsH3lsDA9pZ7uIRf3IKB8Z+8CJDrt9xzfY
tf2a6izejAYmGVOuy9Vc6Lt8mC7G2nhQ2u7MLOc26SBLxXJ7n4fR9QJ7QIffb5RwiZcyOw3kQnM9
WcEtSrarue55RBR4qxh0Q9eJ48lXmuCyJ1RoygKJPA3ptaklCId6lW4mI5AhFTgZBh+M0KHRkq8h
6z5si3lfVtZFAp5kXdqG8Kq+0Lx8YMhV6+LI0OMNM/E+7m18hm18MpOKKk62DthvlY1M4hWewhpT
nJ77upJ8YYIj1pPTXTCpeRykSPZ41Ac3mXLTi3rtaz6BeE2r8rqfK6/rLRpO1K2WtWCAihJtYDrc
qWIutpLO3RmEiEHaLH5nQDJvest6NIRxoyp8w0OZom5s1B3tTs0HJHmMBspzk/GxJ+e6vhZ1chGH
JqbL9DrPhnMYcW+LyEKBk6SrOHcu1bCo12aGZ1BUQvPrZpzcujBvmQgOdNnlr4GqP8ta9srxd1cL
TXbjkIlcIKnveivdt4nleHme3+eiU1eqg+976pRNbOZP5aQfDKlkuLY0ZFp9b+mjeaUldmXR+ZOh
Skb1iyZwa6sGNr1F4NIb9cmURkiVabkh4+Ol0dSnGgrz1pHp61SOdTn3A3ObLsJ50qBkxYJWuNjM
X5mRtzvZ6m6iokPqVsnZFo7ZBMIvJXYp0p4rU7/pctgrAuLCGnoYtWJPTzWpKgLQYvk8YIZZpYb2
PsyT4xeGeUoSdfCHoLS2aVo4WFR1QKV9TVtNFiicdfEqDTzJSotHUw6EcY5HIwY/VI++zRzE19T6
WhQmNkYbC5QC9yONGalpdszxRJv82Egmf0qi6pRbYjflwXNejLRzJYDENL5DF1xY5lVN8mpahYX4
OZlXRhGsQ12btmbR1Luy0tcpfik/ssxsbduc2lgP502R1M+NbQCukRAbBpuyL6KrSIKsBAHdQYlA
Gel0ubMeJRCmJgqvK5NotLVVKzuwPcfEijF55Ym9aWvsOGiLZS8Ypmkf9f1bimBnHUH72DPZwo9V
4aZJx7DYRkUx380i57sRk7Q2sLO5UsH3GkLHYXA87MC9gNxXbHp4BsSRzNkHznyQ4jmHd1M16yDF
gpUvhGrrxpYs88isEadIj3msH6bLqo9uC3We2BCVbI0oiOFvJDWQ8rpXsyY4KAfcsBltsMWTAgob
ocroKll02cXqZRHMsp+W8bCpqvlAL/6I1Mmnn3g5kDaz0pJapi3NeTK2mrNjJK82fr+sDZBlWE6A
p00y0IkZ6ErsaUX+ysAktAb9Kot77LBfylS6zJr4JmUM6cH/M1dJo5huo1fvGa3OkGEhw26dRn2s
8yuRSvsik58qMFXu0MfnwOnxoiny4Iu6CbwySJlM0vhPxiS8r6MMeVLwZKpofFUeXShYX9GWPxma
hFe5O1dkW/h6l78GhuqsADClYJOy+760YzRWMU4iSbqa5Ur2pSw+KaT7IGdKD1lDJaKzpxrSwAKm
KO+j3SIlDY52MOUbOZ72dKidRQXgJkbxkE/NeSwIKTQnoGMNfCi+0H3dKgcy5N6kyv4qRql3TU7A
QN22QZu829Kwbvuy27QAo9qKvxWldC8nMjS5Q55EaPQtrFnpF6dPXqDMeNVA8FPSWDvcActdY4de
azZ7Zn9r2rJ8PTkIzqRqD+PM/RwHarNWVf1dw27uqoZ1Eych/5gFfMiRvTaZ4uo4gTE9MnOmcnum
AtvFI2ALKh1X68z9bJS511eoGWoaAo54UDR+eTWSzhckh1SY0UbLu1cdE2doBXS3sUnJVo5VrLhX
NDY8IOcbI1LIY7K185jGd40QdKBbnMpSVV9WsXOEb+H4GhbGXqJtbyWGQjxSvkFiPNOVTVamInLg
pxXOKvzka3wRkIVnuMA4TG/yoeaj2QWzGupOUvtiwpi0pXpodpYW7cWUfI0UI16Hwr6YlGRTzpsW
grFqb5qp8JXxaEvpbZQNqcuoP/dk29gkyYCg0KKQ0eYXzRZrU4Qv9HSOutrTag/kiC+r/sKgd+FJ
CchHlTw0Bx6f23BCGgfr/F6pLJx1BEq1HPu3WphtVcwYQ5f6ga1VV4XZ5CjPitjE20a/R3qIhrKU
IRSD1tynIx9Zw4w52MO6zAZpugKV+lzIRiz5elCGWD8tEQMtS/clsj93TGG7yRKYHyfE2VFKa8mi
u1KkkljHeunredr7wVA+IneeV4U9EKcwhQpopgRMZXEjdEIhWw05fNI86DFQkpzCSwribu0Yzi6y
9C9ASS7HGPBcZDEeimLG7tRdrZemOrFaYlBcCQE828lEXSizscFNp+ejLt8dtXnvMKlxomPd4PXP
Kt0fO+s8dDGdPuuIBclxizb5ojiTT2reEaYK1U1ZvbC3YMEhNjMt7Ls2jvV918vvM4y7zZzImGUH
e6sP/SV2YggrC0eSowSamEjQfijeGpFvNRAinsH4Zl2TeajXgB7Tgdg7nL9GXoot6+7RIVvGmgw2
Owwe237giU5UXhDtpgdKvnVbZaC8wXeDEWZTqVS7jpI+p3Xs6dFFWhFdZkwuKKud0dBJc+zhLLVF
7RYVGQBG8oaZCOuBgn96is9lKJ8NyABZMZx19cJkUA78ym8aKdwPcvkAPHDXRfFTZ3V3lVMyjprl
FQin0bRuxrD1qHvPU60+xxW0lFZiZczD3TxZ8y7pM2QSyV0UIxG0qAVXUVcRDpZLz3peDg/5PIT0
65LDCN7MbweQjFM+n8Qw4V81lcdqkL+MSXolRPElrWzEkMRx5JPzlBklIKfoIYcg+v/mRP8/kBdA
k+TvD/T+e/avc9n8pT+QH/zjTK+SmMGoHBXd72SlD2d6Hasf6brM+H+HnPxxpl8w1UwIYFsvEFgZ
MP1/pvm6Qq40mnWO4ua3A/8/wip9374yYEErAAscwE8QlXRd/tSP64I+abO5oH7ADiKn8dEKU08b
ptWHK3P548BD/SYK+HOowidBILjMbhjQQCCGUvp96wA2aYo7KhWXhsHEkv61ra+MuV+iPNjD1ZDF
G22Pr3TlhTP1xzqt7iy1gdyHVNkTED5XaaOkB3Q97DQl+cEaxHxXMtDsBaJ5FG1VebkdMdRebH1R
m91UvKCnVtllKceMAK0Cplqt1hSvA1o4HGlYxuxDnZP6gKHRK4DH+Y5hYoVLi3VgDmuY3p3fg0jh
rE95bukPkm2dHL13WDq0x0jPSg8gwA2Nu2spH8+SZJy7mLVcFthkIFvvGmc4iyAncslR7hhrssKH
w+Cry9C0HzhoSvMa8PaDYzfvamg9h/n01Cy2/LS3mMhP8aXRBAcTHNwaVM7WdIJm00YN31DT3JVm
uI1thGP0bg/YSF/IC0nXQy6TqzGAVMnKsfIlknrcDGM0ff/5WcnzJbgwudBtMgmnjKN4xamIPkJv
KXcIzk7lmPduqUzXxHhsaAdtceJLGCDhmApd41QMitiLVONGmogFyzuOYpbzTLG9ktnO+6WJ0PY6
8xNE+zaSFL6/ZIMX/qs90cmQTePEoYKRcIH/skZYoRD1pApgihNKDhEp8TpVskvYhcla08RmzvVT
GAah2yn6xhm4tpFA3SmZxuBXtfNM3MIWmfB1WVA2a3N7H5vI1EM4dtQ+2U0r+h3pZCz8mvwqE4/t
hmK6z+LY2IzazMwKnXkbJQPIveZNydQ3VWQIJkZlW2aIriAaoZ4QG4yqVznystEqzaOlzQV9qOJ1
TqrHyKKFlJvlLboFKtTaSreiZyOyhKdqwRofGkQ9bjG07zpSSwXh25ciKcNmPdtSN3mGOXJikKmq
BiKpGhiOuqgLX7bEWrHFYjprxn2WGQiv2c3lAB+6rr0hKNwx1VsPM1gCuOfVcM/JjqI4RJU3MzpZ
5AijEvtpou60St8quEy7Bbpg119Q31wrqfRuO3xNNRP1krsRM+RAFGnbIbQXPmJOZSflBrZOMRzt
BjGLhDPSiFP0ju0QL8gy8WQmVoveszqFsRx4bTWi+FkQlu2xSuD/dO1WiO4RQjOWeSfxhkSG9Fmi
geSR1Yr0Eg0AqcbSjtmDTgRnFK3mccJvPMRvpphyNxGJBrRQuYYpuxnL7p0+oSB6CmugWT2KZoUb
ZhfpDXBRaTuZFvue/DwbhPiRqde6U/ac6TeDaDFp9vuKiiujK5QUjaeuASBEjt5h0tdWQtO3g0oY
mRKhL5mrYaNZSbeWFWzC4aA/FzpCvrEUfiA1KChFtemV4mIqxVNTMlOIJ/0eMr59qiQYxrdLMmho
602wLdVcyX61jP4wPsFhrugIVwxIe4QpfmrAti0VXjCZ06Ug7szVN8F+vClPu4S0my/FQ7VKd7hP
3OCAdqT3mQLufr6M/zAkWF7esdh3VMLlMCh+v4g3QW8MktlzprS+VMHOkTvXGZ+l8ldZiX/1Ouoi
K2dKSobDtyTFD/Nxp2PPikGJXirxEYy/m2XvTriDQveLwdf3u9+yKX27nuyBCqkQOGS+/zw1xA+j
VyL50jQOjQlcCgaE/vDza6b/1Xf28cN8epE+kuVWBTt1yUnxnmJ0NWzlN9u38TCdloQi95qwdRfZ
+fbubPuZex4YJd63q2B1leyFuyXX9tj5/EO/XPO/1f3P35/6w5SRa6CrMogCQ0M7+I2d9uFiZ+DQ
EWHJyiVu/HNwRXz2SXkI9xDE6X36k7t/Ujajd67XYstoKD9wrLxiELsGFfbbdPC/ezT0P7CQ5Jr/
fSG5yv7llw1myh9FM8ud/0chCWMPliZ2RU1n50Q/86GQVP4NDZ7xDNA85DQfRTMO/g1LR/LO5Igy
csFF/SGasYlywzqBLdNeQFboXP4BaAJPJw/LnxUewyGb38PKJOsazxK/99PDFAajISkDZkq9vBeL
m2rAViVR+tIRaJtLYP14rtgsHw0dqbqDxt3tLMnCHgXooZWGYj+HACLIJmnY6vQHCDOW36Dk8ypF
Vdbz0rTPF6w2RVHjdXpfosV3BuwGuMQS7GLgyEnIHu0IAZx152ApY1cp1uaMTdDCbsaCEG4bDGhd
PD7QC1toCdUNimdsfFLsbBU5fC2wr42afAAYcC5lpp8oJRVXbhKCfgwF/wPjmUzEm2nxw2FPOAAn
ego6laEsTZsI65w8hNk6rEHJ9wI3FRSFF5PU7W23eO4a0OprpxzfzdJ8J4Mm8eEI9D59yJMzao9I
Iop91WclQEz7izrQ1lz8fbxNsubyi9TAcq4NlidFZlnejwgEVyw9m1SBXGeAqcMWvg5L7NNBRMKc
QdhbpqzGBWlXZtVGB3JnNeJamGm4JULbRkGJ9IZUtNlPOHCuemm8sCK6vzHgvBiA3rCQ9Jg54stQ
bHo2C2cvAbiXDWKnmd0zMG9oxhr99R4437xQ+mx5urczqAWXYwtdtOpG2rYZW6JzjKTq69xH9NeR
wKzapId+P2Kt1xeReR4zI6vjxNlV9RRdaal6hwEc7x2I/q1qR+4cptrTLNMpRpbu9Le9mYVnVKrV
fpbzBjSzlG4ro1yJRL5WwB5RZNgYb+Ff0c2I7xcuFvr83nY1CRaPFjLVqZBh+UZJ8oQklZdhEtAI
xcagmuTVSrheRYJjtedglJl7vS+4xGSjB8n4UBnxm6Xlx0AiA7RQ6OKKhiaAJfVfGBNCP9K1J0nN
nimvwTiG1mZy9BLXb8KwEKqWRXztSPSXpNLfrxdLBVF2Y2Lhmk2PZmAR/0EXkNiRm3wuvspZaa9I
XGAeYExgAVII9YOUvCqm9Gio4Ami8TqLuuM0SLfA1p47tksOCY5b99KhHpuzrAV3Y5EcJpHzbQXq
fZijco2a4JbYCQazXKFKDQmDrahbU9s5F6r+FFjiDuvX7GZhlmCipKQmZuCl1Z1r0STnkH42XT/8
xtZwIRT9WiOZzM2D+KpplR2cYU9HybQMd3pTHCrJeAmn7n45roSFAfLEuIjieas1uVvJWDPTdno0
etveJCEd4zRGt8wyR2+9pqUKOJ9BEdEJ3hA3j02b7zVnOKUa2YPyfE/z3+Z6BJpXa2JXNcYSiLLQ
VKTsGuTIS6Xl8AnSrHFn097QYtZWQATsVdCV7YoIDXQ8DqpoHS5bUuUJgPvKG1u8oCpMlWXFZZVS
mJ3ow2WJ9spVoQKv6ddfhTIuWAWZsMwlYE260iamKr3zaphotyvLvFNN/aTpdYL1CkQGqZNEui9L
XBPRFw3lG9Up6PpGNL0X91oL38ZRjGybgxMjLRo8HH4ez+R+6+fwRpH1FytHqR2q9gk8cbAJQ0la
c36/ViwoNXWIfWlSrReV3IOVUmTgNc2KCFwSCvJY1RdN9DoFw9B0c3CT1HPixY1yW8QDfi+E8a9V
JJ1NGOsrsLowPOMHEQ0XzMG3uWF/nSmBVx3EPPgmMryZusIS1xoSmvp2zh9yQD7haVbDCfPbUDLf
Ng6G3dw6i7mzWWyepNM8l3PsQKobNKwx82MwYPO0cIeanVR7c99c6nF2jvCPavhIR/ykymIs1Ypm
n83qCsFXtuo74wof6al3mPKbiy01wZ9q41OldwrQaLGuGojhqOT7Ww1XaxzIe1IO7pMBE1Jq2gvb
Y350FidsPd3nhriqRHLJ/cBFwDOb452dDRhd3ULKGeSCkSQG29HpbgoctwrjLtJSDro83hWq4wY4
c00cupXDsN7mD+Ni3rUyk2PZYuh1TCjN8WLyLWSMwEtTT8TVtsAH3CyGYAtncMjol5UIs7Cx2Ibx
DmMgrpLdvFiKpZRkg28m48VuDE1J3eG9i31nMSPTUS8YuzMngpusMN+nTbCYl78VI/9blS0haX9f
lR3L9l//pwjfs/f2x7ps+dH/1GWIj3WUNzp9nk+iHfQ8DohA3LPYb6jY0NP8IdrR/21zhlpo60jT
6PRxkvujLlOx/9gKOiCGWbh9gGb8g7rsc1VGNYheiISKpWPIxH/5+w/VPfHxGEsKlFx9vpoNix1w
o9cPHy7M/0V3b4n9gi/GXqNh7lVt2pLfv0oNBiYzZiM5d2USZ35JqOySzzPZXgBva5VopI2VxGbQ
XrTJTmEj9LI5OBBskFzLVXSVxazMRhQfhSwD0MMuyvLfZ26mxLInh6DY1XzXD9EpHpxt1StHeRZX
JIuc6rk8jI12ETfhXk5wzOWAh91Erp21Re64y4l1wkfivNF6ES7ZNfxlRzcPaeXXmJhyJDUm9BxO
tpSpAT8/WixpRMsF5l6Q9rUJxGj5nQTYKHEIgWfXLtmtuoJwIFW/JxDD2liZoT0TM9W6EjrETSyn
kbmK+rrKVuVUpw8l/TSGZ+hjtqHDmHunaMwu3EGzz+bUTuOG9F96JJB88cFrlWbfz2oNrqlWCeGR
ZuJqlVJANaQMtgBN4IzKuwn6COX2BR1N6cTvr3x4BG4qjf2hlIqNXeqxj9kQrWykIuuw7HirZXq6
78fatC95vVZ7NqbQag94dIfSDyfturQaY7yMlITxSzg5B6cxrf0AjflpsYg/DBZMETsjZRkQRa/v
7JJy1FNVAxeoHQ3YU2TROndlaaOnKnSYWz36E7UaIywt6H9Ipp92g2oMZ6fvcUNxzY9MrdsvbRQe
xom5xjTaquvUBG/RO1lZhPhgah7E9Tz0+0QGOEBysXMdUoe7qMkYnk0OzuMqZ+iW6j6gIt+q4wc7
N4YjX93gm3U8r5oOYVlLSeeO2RjvTQrQldVN86brMsUrnEA/t9HAHHAixcbUhq3QC8uPRrW9CqtE
WdlSfsIsAhiyBf7fxFd6aeyIIQAUYmbbEvy0H2ryZeuIm44Ik7twGO2vpQyLiC6YKUbzaxn3vpGj
WA5q5VaW+nVodpR+ZbpypHyd2i3IMzt0W7N6a9vuvYib9ymZ7utEom857J0xX7OAgGuZN3AaTpM9
+JrTbcmzPc6QScJmeJGN/lTn0jqDyKARaN/002uBDCcsX8k3U3xhZtoGJBlvwhieDDN+yWZThySZ
tnvMOyShivkIHQ/Mt3oyIfuJPn2q+PraToPlYlsrqDdrCo9tL89PY9CuwpyTQS3XLhY3qqC2kHeM
fROf0CQf0/4ln/HaYPv2x3gO/bgJmMQPcnyKdJPZY6BedVnRnkhYOITqyM2MrCarR/x3AcoQUg8O
Dg+RDEdbdRp/RPtjV9pRH8sHfGNeyiC8V8MrIuOPJL6ShOYc8364ipx4n6nVCn5rTETcSNcUmk0S
4afryf5bKJ/nVEqfy1R5rtJ8H7dwvjN7n/TKFSRen5wbv8yyk6EnXp3V02G2rC2ZmOTYI8KpU2vb
AzR2mgqi28gWP4u9Xc7Trp6BjSAje8unwMLhVGT+FFKpGaOWbmqn2gStIl3Pk1Svf77yIvFkZf14
6mblRdqJABQBN39rf1rfo0nhvGFmzCTrVF3IGaD0BtiNdPqzY5drYMNJaAhLoMF5Nb8rVd1e1XUq
39oz44hyHK/7JjnKI+HYjvUgj92GgIavJBSF5NWByuJQxBmWEIpy5p7OFvRuYLSeSGzkXPVA4q7d
bRl8vyAG7L04ae9VK8LfqHTUsDIu8KzwRI0meqdUqYW9udgQSLxRqaYzGNQQQN6mLL/prWRPOtdh
brN93atHqyqPdquCBATo7rdTvFXHyMBMEntmwMA0Aj4Ahd/yW7m91qde8arI3MuRw3OthfIx6BTo
Ks14l8QkejhmX3MvqBd6TPO+Ngn9HeP0NFTzOSL1NxXGxiAL3Y+hSwYFJ6fepqjKl0A8tJpGWB3J
1CEipCD4KhMHQPZb9jUORBV6tnJq12BnLtIku4YFGrpDMWS+WUixpy3O6wZskYY6PJ9xouEiv9Ph
by7FGjZ360AK4MKDrvDvzWuiyhb90UapcsPVlackn/xc4wjg6FvcrCetLd9KxzrKNeeQ0JHeAsWc
ObvVCFihn6VZTt++Wtay7hhb5qMqZ/S6CTdBIfE05aqCb3JKV3oUXmgzycbFAqPWq8TeImHq70tG
Loc4rptThsj2F73j75X430oEkw4rEmYUbbbufCoRkrkRY4Pb9ByAktCSfaP+Kj1zaX7/+SjwK8ms
UQCi0xznbGkrn+wS5HEWBuzb8JyZUOrMi7iPt3F13RBej/HUi4GdOsnqFw/gJ4bYj6+6fO4PBVZf
pV2la5J0kqfixlBV8Bz8gV3xMdSpPaBEJl5nGw9kR+8G0kwYGaJyygqx6Kji0iua+bGUrGPcgWdt
82idOUJ5sSPd8nM5uTNx7fthOh2sTH8yA5INlUwze+6molz1s1Ws7EoC51oNTOKKadr1RMO9lAUj
DH3OCf+K41f8D0yhZFBFrMCTv0B+vKF3bno9mzesh3ck0Kg7giEuo6l7Q/O4ZVO6bZtmbS65WKoB
/FKOpFUiU6Fkoig209zLXo0ezW/EEi4ej9dqVKD/jmnHaSHMDmc6cNN/rVsBZauKmVsxpBH67Tgn
D7qc7o0OWQQRwyEpMyC5ko4ZrclkMJ2TgwpqsJgC1dew4rHBpKyy8sNAMgRnqfxkA3wtGrEiuII7
WF6lXUiAolb5ZZLbbkUot99kwaliNhka1lYpSfeww/EmMtFjjcAZ+g41tKaB8J6tbiNVNJ6Uvvxi
hvWpkfOrusKDTQQdkpE97CnJHQwNwKHNiqgod8UUbccAIePQ9OfKZI9Eer1rGv3drmWs0nTVakPf
hJV+tMTvHfK/dQR9G/D87B7nRPHxbhO48qHdcLclx+IyPEvr+lDfMyfdMR0+2mw93qsqXGOvnGCV
Hn5+r6tLB/fHF7c0jQAVFdfm8gB+uNWVKrLx9erSqfINtziqXrXuUSAepAdrzdjg7kLyjg/DiqnY
8IX/ZGcyUdx9vA7OGgODX7yb7ze+3547jQGOQWwCx6jPs6hJFrmuKEl0ZnxTaRmK5YfmH/onv60o
H1/jk2hhbvJeiiICh8r6PWyYNF/9/Ir+5WewGL1ghdXIK/70beajOUt0v9i8pcuaBltjUHP+tkL9
7/Fd5vb7++P7Jnsvih8P7ssP/XFwV5V/48bUF0A3KI1vU5P/uG1Uoon4TqBccApn4vLnwZ0pDP5N
5z8TlT+VOZqDMmehZPEf5omMaP/JwV0xP++YBl0FJjP8TtvW9eXXffe4kYpoqWNvOxdq3nD8NJS5
2jTf2AmaxM69MiJS957pUDZX2jfSQr5AF2boC2biHJvCSRFzpi8pbcUJKe+gduF60nX6SDwv48KZ
mHfFqNWrfnCuMJF8XXL7PFgHiFXVjQTBNWxjnAT1RobsakN4ZfHcSnH2YjQgha2kPIaJuEoXKKzZ
NRxEzK0lk0yDGQX2sfAACxOIClEWBdJZRZ8cq6BzxAKd7TkMT8oAxlVSXpIckDaYv11jW48VxFpq
hVfUiifIF5mxsJHNJwcyY7eAbmnxv9NY8NMFgZs4wHDx+9cXrIlrBACFpw7KtoacOywIXbHAdFNN
akCFANilFcOnLQhSa8v5AT/PiTx0Ep4T4LzNgulVMexEOhBsWFnrZkH5Kk1orRLovjaUXyZSg1/r
gH9Jb3vKIQH3SYImv7wglRI1Uh4Y63zBBoNJ34kFJOzE1GUKWgpfFvoA5hfgcLWgh3Gm5NR1DmKJ
6So30l1L8ogLn+BtygfblReEMQnLjFLQH2jh9AWfNZBFRfnaqQCh4B+LbjomCxA5WNDIwzdI8oJL
Lhdw8rQglEdYyjNM5VwqxCPf56Eznuec4Emyp0hQgMWb7EEn3ghsr//F3nksR261SfRV5gWggLlw
2wLKsgxZ9L1BkN1NeHfh8fRzQI2klvsVf8xWO4WkbharUNfkl3nSkyBYGh/LQR0dFZ3L47qIl+2Z
vsoyouegTV36E9hQ91nDHkBDU7SNHQcDClgW96SDczjYadlvIVqWe96XSl0LFQAmRUzufQCW2PWy
SRsZeJSEdXpzEtuKkpjMzzpYRtpURkzpCsnZH3Hm2SkBGgEjVV8+V4F/l0OT4+7fL4cPHeCh/K9q
3JY/98uKyIiZGB3TW0unQw0u7w8jZvUnC3kPP6K++E+WOfIvUqbzkzA4dquabrn8Lzq73C9SJtIo
/4I5Jo1INBr8d+Qhy/zDfvkzN8Fip2SVZXH+7Dr48QDSmyT5yjy/INHDSMX73jPnG9PCn3FVbXpW
+1USZCdBCezGxNiD9rGNcfBGnbIvssR3B/2u0PA1GNoBy+Bb2jHoahZvMsWys3YMuWjNEfyYlGiP
F9nhazNldz1wgDX1klzYLOZaiz86yLrKm5l+3uRTRuENDbKoFm3xXBrRTUcw4Uj57y2GRzI1uBVX
MxQwwITvxCw2RqDdRmN54emHLecmL4PWE3ssrItj1p2vd9yTU22IL51VfmPOS0xgjACXkoLxqJfW
9uZEQUNr740gfzCm8fsk5hNzufcsaB6GCTUvycJtaXWAFWYCiL11MUv7kAFlRw40H7ms+HPZfhki
a9P0EvebpjDAdJ1b3GpQlspLMqRn7FebStEC5MYh9hIbRrAmlWeXngOwfHD5zeQYSRIoc8VR303b
fbFM9HPCK5sIKu5GSdwvI0ECs++OoiNjV9V3pBg2eUqq09YutuluOmO8sg2QMkzIe0rtzdAimIPK
C7jzZywLG6uD5er2g4l8mb/HU/dYKYTB8rlLV6BQz1PPW1en3R0KBpV3qZU/1WKPrAr5gGwFc/Ta
JhimOptgCDiEmrCbp66/j6gh4J/jTWw1md/WxVPHywhqEM5prMAYHhiox9yypaN5pTrd1D2fA632
NuIyQblyclQuesY1dsqbYQi+QXCApGdZD6K0rgpHCk9praObA73oTDsCDM0WHMvoqsC9M5NWHJk7
cx2pkwfQF18dNaZ5OL/Lo/QbHrWn0GWnxANGuw2/1K4KNAKUSkCCoxxDz9b1jSHakTBPgM8zTjcV
GuMMNAOg9VYV/S7VqWcounFa60333THphBLWknmzq5eyzNeuVi3VhLzbSwOqF5bzQJ2V1qxQ6kEm
LkEM3HiEpwBXnuZJPtZzShyyczyhJuQeY4WWAGQ5P+8KegZkeaOWY3bUcmovnOYltuwjx5srREdO
FLFLzFObZyKeNBoUgRw27lTwZBr6l6qo752eD94kCTyZ8xlI57egV6ib782rWznXbghIrUIv1IJg
b6cQsUweeggdzmZEw/LAMAoSrSlD7EEOSy9gTwXS9BbiB/XMBnBXxju6on4VqZOeg9RaU2qOZpnl
ZBcsdRvPer7GRKokKy1iAteH8xuNz29tbz2QbHxIMw07pXOb6jqJzHAW3qCTgYUo8jQ5IBPazF5H
c7uJpt46IJ/QE68RIsQrR2xWYecO8ukgGqD8VQUIjbmQryviuz42p0xVTiPVgOvYAX+tTvMbI9Ld
VLWmV1pLvMSmo3oaOEhMkr5YvR7uCdOVWF7QSwM9dLGZWryeHrFx6HgC+fcfekbKcaLNcJUSBEGy
V641kYsm55EQVh4fStt+rGR9bjKYTvgNv1eVerEJmjTJaME4zMRSSahvLI0knDrLY6Cp27EQfNq8
4zd1wS+dFjxNGG5eRZ6Vm1JhDQ5jhxhhL0mHTOEuIJACtWp6q6243LosjSKNN7XRKV4UiRMls5cm
o+WC2RUA05gyzSQfQMCUt3WjbhMpHqqZtbLU7rWQcq5yduBclvZbCKi0sqKDzi/HMFVFa1C7R8Wa
NQ/VtwayTqmYNHmo0yZ47a35Vbb1lYQmzWKZskPS79Y5C9xKtN19RbGaL1M+X0MpfWc5tA6EoBi8
y/dFM5pY5cvIvbDQbcM6yle6aB6mYHhK9fZZ1g5s9bR7Bu2t7jQdAZm6oQgNM+n9mCJ4MqAZ2Zmw
BuSoGXvZJPeFZdDE0pVQxrXXIUXwZpIL/weDLFEg2mkqgHJSf+qtu6E5zMHLEN+IyLgj8oin2nqC
pf0YGzkfTdFuraI861VJkWimNRy7re8aCz0uY/e2j/Ef1UIJdoo5ca4C9rnO7JhOXyEI5A/Hpsqu
Pf5ue8xYfsGazpN2Tyz0Jionqr3D7pkhCbTzuj3U7bm3mOubHfMYO7wVkxH7WenGW72WJCRl/Ayx
b5tlCMnALXFqKfLkTray6aeOnHU7wrlHuEMHwsNCyB4uTHgwXQdUxmd9pfZZZTl1hk5fTfmdsHx0
GooWZTJkxbafk6UFU7YxR+y2npnCf7ZkEn4BNc9RMnRo4IsJFbJ+HYJ2di+aIek/nBXKIZpW7Jlc
nbPPOs5OTNN2XhriooqrAJtHAt423OTUyOnIOKxGBwuNG5WDGwFYV1/BcP0U2xUrxNJHRyp4F1FQ
J0SzAMTV78ZE28QEJX+CDY8Th1yu4ueU3OlAdo2W19gYWumnY/YVybkAHBttdTXRUcIB5hSh9RKN
eU8dNELzUEfrWmvKla7PG6tHQMYQCJfUz6p3qG6aCK6MR3aKMujnWNoXoxoDSC05LvVMfeTtZxen
2K8akwMsNHtT1SNuHGub0CXvUzZVbIpRTb1JEhGIaf3FXj68FFSIAPy4NwEXWJn5mLv17USPNnzY
dE+qbCPj7LZfCgibciRFUD3YpfjK4nrbukNB+IBHAGn1qimSWVylbQch2bK15vypLtN5siuslrke
LYg2I2EmPFFHR146reVITwLr/gJoJAMrrWadjwxtCTNjrC71t7khjJnhwLfjhMWZJkYOuS+SZsbR
zmyvzJU1PmHPHJxXthZIu/pV1v0N39ydvUz8atoeq7nBDR1np0Fjq6UPMg5aagDKZ7PSXoalMNIs
7OdGH8k+ECgDAkR0DHAWlKHwifZtuKhKtp/B9Ql5GsNwUw166ndUU0ZmxR6tWI9d1Z9mPP6EAd8z
mixrMgx87NORUWC3m5a6y2K0TrnG7NvKWQhpxCQIaPkIhUDsdKbe800nKc8MlxpNa7aekyHPb41A
nf2wdRTGc1L3+6WAE92WigiwUTAYCpyRDUQIZ5a7ZqnulGrybuPm8xxaPe2qMbauBIgXuk1zzGva
PHFI3WTJ0jdDP1YKRWDr5gNWcT1o+XKZmTOLB9w4Byu2860VlXuX01ZF2s9ICM712FlW/17HoBGY
BKv+03Xsvn0r4iZ765o/S1TLn/zlQkaj7ILBw1+ic+35PShP+wkfMLcxxzTMT7HphwsZ+TDMI8yP
KKT7FI5+u5CRNsNFTOIMjgYRsv9GojI+gS+/KcKL55exIy+BaYtwgNrx0n9UhBVHMVI5ZuWlg6w8
n4BB4wGh4zbR122bZ7d2XPfATzPzbBIV7hYYO5CGtdTzh17D5Zpr+bHW5Ws2lYesKa6EwTBb6Bzb
k+DEqfVEThnGuU1jl0FSnyT7MVKH5zkpvn8qK2Wvk6lOrRJmx7zRckFNK1yyLojIB4uOVsg2ObVE
RnBXMKsw+kJ7B5JG3ROrzmYIWdfAKpC05zhhtRCVNYXvGABTHvT886EPPr8AVl/t7eU7Udvuwfr8
mhifX5ng8+vjfjYuyqV8MVlqGLvPRsb+53ZGehrtz8bG7LO9EZOF4ruNI5NdWtDksq5lqNZrbiaM
DrNhfO+sHGR1VjzbhBO8Nhq2Tu/KbRVbZC5KWmEGlvXEyYaN0ZUn/G21p7PL4S6N1/XMtDZywakF
QDbU4EmR8x6T9bW3c6/AtCtITPcKFVuDCUyKXd2prKX79Uo8661SSmabtkIZWncigUb7hFLh7eCw
LF3t2nOJ5mq+LoL67ITVh47pMFeGnRa3h8HKd2FQc4Euzrk+nrtSvqtTc3UjYtOJ9Zi6PdQUexdo
4cWKejBmWXWfVTjgimV7U7eD2Vxl6/jGOMBCEc+5ba1UFynSaQ64iTvPyQ0dSNhHgRdTZHTyDt16
KJ2tqGbczc0piJtbbqGvZHx9u3N87q7rgo1/LvMLTlqW8/lcNGLXjPrzPJQncukrWgDPLHlelXAj
iaJzEpRn0DM3M6VfXdseEpOosKV+YQK2ceL2VBnte1g6yXpZLUPbfRASF2SubR1rPGJ9b1edq547
4BjsoGdp6Xf1RDHNrDyakbHPkuUT5uyH9WDfAIt3mBW5Qf3dFehxRfZsJ9EjnvNrGymboDKPBAE2
wHTOatJnzOCpMhbje8+LIJOv+dTsUR47H7ireRL7b2hrGyUeb+gh35cNIUJnkt+lrXPMG69yYqod
hL15Z5sSgMkQnSE4nyZTp5s4U5M9/VhQWmK9NNj6YGGgOdQX8nrHQeOR6lyxz/pGYXY+VH7VuN+m
cDyrI0SY3DiC07gb69byxypeqllt36jrL/iKefwMCx9BsEXenTaKEXyZJTsxAPiNk3cP6RCsDcVA
7hAtXlzuPistBWpr5GLxuMtxwSWAF4q0UyDEVUjo6uBDmOyPfOKgfG+TStk2gGkqktC7KkppTmrs
ZFOP2qlNum0aUCUPNxhnUrfm6eDTWgpZ3K65rYNo8grR3OgGe240NSgf8UUE6dGola1mDOvcqs+V
zoR8qPOvlcj5MGbFh74++EkAhDdurTu2zH2JpdgnDGbQvAI6MphHugySDtlA534WIfIkcXXM44xs
Q6t4uV6+tDasfxoBuKnm87nTjBMRwG+WAY1fcfRdUBXIWtCloDf2V9glT61rHRST1hylyzbZVFT0
AQ8n09UmqJusALmSQZCsoODqdYDGHlf1JummY1lr2N6M+IK14LG3OhA90fgQWrQ6ELbkeop5xkkv
NF5oNBgTRzIwKLh9XnhuHLkrYSrDcS6N7CYituv9u/d/7v0L9fDvpdhdl9Mk+a39886//Llfd37j
JxI56oJt/1lV/UGKFaDe2fI5ZRgLhR0nxf9JsWTDl0I1vEAGoTn8pr9JsTTOqii0ggy2pbJvYzj9
f7hKBSLFAlTUBKouxtY/TILbjjZAuzSH2049hAmg6mvZbH94U/7CVPpz9vy3wwW/BYkmm1EblWYY
Zfl9f3+44EJhJEnaVLfGQEK74WFsyGRGhl5gVFA56C8J4jG9m8vYcs5RFNkvDGv09M6hzsWL1HzU
D7pV4T0q93U0cvDP1nwV1nPMt6abDW+astuA3Tgrlf3UuNQclvetyqVzirT1XNvXMW52wVTnMLLH
TRG3mm+K+qBUw4XmjvdsSt8Uiki7qtpTyPhCqAXuSRxdQhYzR8/2dtTUqJTyQ3b2tsriAU+nsLdx
LTq+99wRWnPY1T0wDuxPj9Rl1Ubj8eu9hJa6VzGOrFiMD/VYfM8aFy/ryCY/5d+Diqo4J6+of1NH
3AaN3IAkx/JkD75TSFzw3FDIH6jvY1McDKHkviYKDlzhIdD1RzkyaNHj9jnNp4aFb/jaWOIwCVls
6qQ6FdE4+G5tG74ZB6YXlPJexuhntqAgDZvoKQ/JZ7WNcZcNYNnxZr4oibGZB3tcM0qltlRvPxK7
BlPFbrKy6/K2KMWNPUiB9b+O0crrZGepMF4rrFremHTIX5WOIMdKxJ1/ftZyELN8nKuyU67mgNqU
69nDkLtcypz0VamRmPSh2rtcms9ZO7B0KemhUdDKVK0WXBTDY9h+NRgJuKx4cT7onhhrUDacqoKZ
kt+gph+lDLWDdDrpt729nW3zaxWT+BgmedPZ4quDF8d3kvjDybkWhsKZ/bp1Hwh2fYh48NQ6/h7X
6LNak+wiHR+mNjpeGea3HEnftSTBICzg5wET2GdxykZJT0fsLKkwg4ywaNphLRTV5fbZ3ZJmeMRo
SyNq1kI6j+QC+bsPx7b2SzvsvCIgsyJw4/UMI+dlUOY6yb0Og50cCPKN2z+nKmiTeLI+EmR3U8N4
F6FSboyRBiCF4/CpyDPphexEHuvKYzjV94UwK4rijEuY2TheSwzS2jh+6ZOMp2eoqaEfeD9se36l
t4aEO6PUnoO3oIt500v1MQ0zgC4UpI+Kw74ftoC+lI9WcV4p1CXIkEaebWjgG8eAhA1lslbJtcCY
0n2FvzdbIxTUAYIcbD8gC/WDGQ7zihEvT7mbpY+parh7cx6TW8sYHupaZxxYfc9J9cVphTW8rL5p
bQ2/j+MHuRCwY+lAzYOMMRiJ1s+sIENfeirc9bid0PuPeQnYR1GuskvcZeib1VSm5nQm9INzo9gj
92f4tF6TmSYkY+pCjYrcuXFCus0ZiyuMxJHa+G7Sj1Kdm9J+iRzze6yO9YplrSbGpm1ytuE+YiDi
iLfFjI2r8JCb3WvYcTVhzbnKQlsnlXYtEQQHTKF0y/qWEj5x/3htqAIqNfXGHRDZbOd2Qgebm3bD
sMOjDe0bVJsMeE/ip02brqlM9dKaGsdGciAChyar/mzD3Jc1UyeDTB84yQGcJrHDBA0hUJTL1Mqn
HO1lHejN94aOO70en5Xmu9nxJPaWzVSBrmYvAPJPyC4Y8BNwilCUtdpP9pONt3lb11L3khAJzXSq
tjqnhvGSl0K5x6GO9bQIVfT25RCZlqLCj88IattOpfQc9EfSi/lTWjcb2Q4vw5A9NbXySnrPuFM7
c75lw6s3Mqvfal3bR9L4NgbOZVH83MwNl7ZeNArmSz63SocjVhZv8jnnFJ470ynMo/s4DN/BMire
kHbZjYSow9wfI2pQAOSjCei10PkUh+ghjkuGgYZy6PrmpdPKGR4bqmqwYA4qXh8twOw9npuyBnRK
ZvlNV80XBSnmwUpg202TO6xDScEe3/LmOXCbDj6Zzfyl4OpRZy3TFmjuvdYOyPR0oxt5OW2HQo0Y
vNNDEragDWGVmbshc7UdtoJbM22vjUC0tbRt0i9eASWg3ZFBw2xpD7geXqQ23oemtPYgSF7QcMuV
COfg516ev3WYLTbMP2y6kB+o0rOwndjm4pf58UZvMdcE7lJ3t6UzwO26JM6DxatGY18l/xSN/9M4
dzHdYHvSFk0CSu1igPlhnNsgKLbLcfrWCdZB+lRPm0j5h3T7P/2I5b//8COomcmyocuG24ovJjWj
q6j/Iqr7/3xU+csfwohbtTlbafpy6vrxhzRRmo5JMQy3hnyoy+OoUH64/88/4s8fC2/VDz9iISb8
8Hu0TJRDTYzDrXDu83oz55TfDJfCfkumf/hJi2Tz+wfg9z9peSU//CRGQmZutfwyNXMAreDCoB+6
HMLUus8Pcz7/LAD+7fO2vPA//jgAR6YgGmPQXPQHBakNk3GWrTZgRnnRmGjazNyimyl/+Xz//rV9
mLyhf3/XeO3e3/58z1j+zK/3DI17wSf/yV6+iovn81cTnIZ7gysIZAjgqkiNv94zcLpZhos9DTvX
L7rkLwojkTfNASTBf0ITxKXx39wzuLb87vlAYbRBYeONo4ASX7e2NEj/7nFsZauO5ahe2gT2nVuY
W1oAlRt665fDoFbdmQTkdx2gHdiEAU78MtY4nYrDsjhTnsDmHAuX9mA5dyvhUAvVDNa2J6efOWN1
krOCxqAKzAJfoeTAyMzhyZGc8mdr2LuBs2H2o/pVTLndUogAzI6zwCAeh0LuBF11D8SaOi+sqq8W
p4iyqx6lJioPWSSmFq/+mk2gCsuGeGg9DDu4iyNgzTIq7vCikYQQ4lYxrJvAGugNGuDo5IMS+IoG
+SrLGMQE7ZvdhV+DHIahPhUqJ/Cq3jsFB5i6VK5t5mS3bis12KBc1zNDLuF6TnNBzFg4xD/FuH3C
bYK3TbrGtya2GFsg37VkWpBLXmLdeGhLF1BUon+HmDXSjRE+yp4jed3sO0uJoGRpu6B2v6mQnsnS
RLvUHe8KNTk1ls7YJbxJZveB0Ji9MmcytlJXHyqbAdfMh9ACUvUyDHw0aJlvEyEFr7GbF4d40eIK
17BKk4gV6u1ic/Mj0uOxu3AI88EZDtMElgup40NdypusRaqLb/qpDPdG0lw7C8PsaGLRwKYLltnK
Vgl4cDIZmW/PRPxqRSH1Ubg6dj23zZp055QyX1Pk6FxcvZq2WUHcjAngXiswsIUNDK66ZyA72+Gd
0qWYdmLzq6vDTqon/SMrzQngqUXJZpTo7pnBV+gVBVTAIDVDvzWxPhQZNIKQZuYIl4ynZs5lUEqo
5VA9VuFUfuQpsk+jlYdO6mfgiEQhEZ9WbSxwN3QllDJT2SYjF5Re675YVfSUpmnnSaxz9eKvn5e2
6Cbkzc3wO0GmnJ/seMIYUb7nDHTQkcRBFMqd5lQf2JTWHU75ruZeUlCV7amtNPYWEZfKyg9ja65F
aADUTC/CoIWBIxaKa5k8q0PwaJJm3OH4K7lZ2Y+yhTjQaPoxqHRCjg6WnLqGedup6jWf2oMKD6NO
k2vMQRyS+uugynfT5dSjpVrjT01/diT0SmkNOEfU4mSShVyZQjn0mSG2lkoEH7hk6hfhEm3RvgK2
ha/eTs+VQUik16pN1SxGphbG4jT2+xTWLYKpeh6y4T3iveZaD/StsAAJlHr1YhTVySXcbznEwyMD
Z5YefG3VYWNL7vJKRh4JlFfppUlH8DCtvYn7hldM5rel4nKodTyNTnKsA066MRZaD+fHNomaL05S
3+R58ail85OmNHe8vmw1C3PlDu5JjsS+eMF+OPfcoLX05NSExLpZvTau8WVq3eoSiqUjbVTGAwYT
Zc9cW/pUpR37tL4XnfI9qtKrYxUmxl0OtSthgH0ObP4Wgn7mLmfWJwMsYonBSDLP9btEZUDqGMLy
mBvPK6W0Uw9MJNYkB/crM+ALlZrcFocy84OIe90YMjvQSVUEpvoV82vyr6b3c/fV0sXw9/vsfVmU
+V/stMuf+nWn1X/imLt4umlrgJnCyfrXnRZG5GKhtJYyKBgEHCB/M1dyFoffI2xNUKuz/IW/7bSM
pkApCuyaxMj/O7s54Mff7bTIbUhtOOF1B+WQ6mb9D3IbujutgZCLL7oBNBW+NbK4wVb4VYIa6AUr
qroUhFKjxKVQc5+Clhq1QFIjapr2O9O+ezsf3BVpRZ/ZCU8Y3aOdou4bukjTpZRULvWkXN0IzqKF
pIb2Bc0o3DZcAW7yut7D4vboOLxQO7DPKT5tiGNrSxNqt3Si9tOMmtTQKU8L4jwovk19ajtYpVdS
qJouzaoobFfdaF/dpXPVTIu7KcWmVpL4USImB0FPKKWmqjUMKJNMXjI6XIdwudiYybWR2MklGpGW
mze5Sp9BMpNzWqpg1UossBKBuCRuZtpi+6K7cZrgW+USl6OJhQaM9A6BCZmoCE7DUjkb6srrQAdt
s5TRStD7qwGA4NzIJzzw30ImPauhMmpAgtnjSKctZjF+EVpu09Q5TUvtrcbvENCDC5LureFbvOkD
jJPDBLU30qnNLfARBkuRrnTyx4lm3aYbvnByJwVO5+7o1Nv2s4SX9YqKTHAmgG3qwLykOoW9S2a7
G6jwnWb3KbEwYi4LH45udSn7bWj9LSB6s8YCV6YPeGgoBsY/+RJHJuTppTS4drmwLTXCadq+mPQK
DxblT+3SNEzjMMzT8BilIf0xIvILWokZwLSeRk9xE7BvNzQX6zQYk/1fTC6tywCxI7dLzzGbwH0Y
TFsi4+M6L/PDVOraCn/W91FUN7MFzylpn/l3u6IEhyR6uuRLPW5WUdLeQiDOjgSmH6wj5SAsfHbu
W3yf/MgIIsaCzUeuUetoy63V1xHtBDLc8D/C26nXVdnlKzXte2AyzT3ZhG1ipq9i0rZu2CFWOubN
Zx9AW5bCL4r8rksiGiebdCPaOfMgGq+niFEpo3fHS2d5QsUi2p3TU6pPxlYPy5vUFMT7lnoEV96J
dDgkEWiQSE5n6fLei+CmnemoQE6zp6+QO+VzVLSGH4Uum4FVFvZVr9D+CUjjg75TK7e+NlOYZ1sN
9EdrqJsUMBTl3cFHGo7fAxNMalRmpBFq+2AX41Njyfc25VRUleWdHbpbJUrvcILuHULznmG5fjXa
8OZt/GuZCiLUbM8a3AB+uWpd20yGjTHZle0o1hgloeNk9uwlwEE9MnR+iz/IsKa30dJ9dr4vDq2c
qjs98kEToE7Q2GPlWNTRljHdvmAqZy1920nmY2zdEXUlCl/QCgD1B0MzVSLts1ZLpsZTyKl83PQ5
IXkjThg31iktEliKRns7cGrJq5wP5KmVyXYaOwyoA3T0jmJwwKHM2P2J8H0Uuy8544RVI6NjXwF1
neuYhoDc6lZzWuzcWj0brfu1GQRfAuobRoDuqQA2W00n0SX7QS4hNl2VxBMHPtulJYJeu0Z+7WR/
SUbHbxLxoMYhwtkkyV0wwBZmsRYpWqwKv4qZpLvRUvXe7ILvNbZjfM35vnVDhzNxv4MSNXpKbe4E
xnGMP/1NhEMric1lTtx7kehOg13cUGmAHJ5mngid18zowO0Qyl/CIpO6de3uNrb6Z1Wv9oEY8ZCp
9ppcMuvfWCj4qsqrQemuF8/yIlTmHGGyy1gAq7g/B9aMeFGuar1dKlwOzFdWVm0u6vLkzzNuUEsy
rNX2ZUmYuYG4yipsABdvb9SCwlLAaVS8KPTqqYsRHYOb3n0xYgy6g24aew3j4NL1WoXhnTY7R9cB
ZTXPSgyebeB0D7WzHKAjVmGyBoHvQiIwuy31U7dGpmzSbLrVXefDwBhX5MAurHbdUMq6wW5Lvlxp
UTar29Z2Hse4g8hq4pwYcxPpN9Gzl9QIJj+s+o+k6W6iUX3KugJmZnmM3KZfoRhTVaL7eiw/zJBD
c6dVZ+L9TEPmx1TTAar26RMr8LqhMUYqATA01X2lZfZ5rBm35xHlvV1uk/Z2vFaLbnR4a9FoXsIh
vBEtE99ATHtuUPSia0E9iZ3VNOlTnylD6mtKwdR+bgfPGZ11psZ73Vwa54d89scy+gYrCQZjT01x
gzveneeLJkn1clwI4UBpm1HC+wmM+sNu+9Rz2/SETZLlchoLFP34uUz02zLXryItKDguxWqMmq9E
P/xWdQ+2Ml0aa9zPOuuXtDW82WbxOE7KE7abhyxmijQUhs/kCiz/NFz6lCStmJ37uQAbnFFsfCdb
SAtmZic7UajQ04IennKuGX30D3FP/fdC0SIEWBrjQPxMyAuqvpyRfhQCmpph5ARb+qLd56sXc9Pf
woxa5Z779nBtTuUhXpdeu4uP5nbwox2EgAPj8uQUbT/Pdf8KSeI/Dq0pd23f/mf1Jt/f5F+dc3+Y
XBMi4uMBeSQ4TyKJco789ZxLiIgmMmCUnGkJXnIE/eWca/6ECmzCO7Jc5/8oSr+cc5mEW7rFvmYw
vNb5a/8bRelPoUrX5ASqO4IDLhlO4w+nXCPSlKGdcnGO8i9zcx7H1x/O/X81tl6G9j8omjyo+Opg
QZGEIgfK0Xc5Z/8goHZBI9rAHLtzN5trXa8+pkqcsyC5mrL9QKoBaSljPxfAMfn273Xi9rJO1p1N
7QFu0nJbUmVQ2HKnNOpD0kUb0VTfFEhIoFCOnYkphunPsJqj7KL10K2PRt/WDPHyphwwjQCG4E30
TNwcFFVi5m5Wg2ru+d4HH4Opngwjjyx/YpnwBby1b1CGCArQOLMWje7QRhsqL0nGzNhNxVcEhHzT
snZ7Io3qpXD8kwR5sStbWWeOfHFlaKw1feHdCTHcJuNAWlEv243G8J7QQgGxPf7C/fkIGsF33Xw6
4rqrd1lR7oqinX3usw+BmW05+BPsDw04ccUXRR3AJooRwUS5tCNHhSaf501HAiGs2ns74RavVnsD
AniqKrui6g4tQ3HP7Ka7MYXnMhMzDGcJTj49cG55C7R+AOOXAGBS/C6N39omwNBsC7ZoZ5eFyUWZ
+eM0bIKmeW3S8ECpxS6vzaMoagq69f6UGbNvsfTKqt5ZU81wWnB0jud2R8TyVgYUdDZzdAMA/rVi
D2XYkByEIh6gDKVL9zrWmlncUzyPptKM0bpz4v3ECHJlJswbg8TaMlJuVuUCYxfuGg3F47NYiqrb
fhOFxQGd3HNF/yxKg5Yn82w1TAzb+ZLG4hrlhBa6IN/aoj9Fg9yX07APx+Q5oiRklbvDDo7SMdKz
e0uD1twm2TM1JU9aYMOl6DalpKadtIUyyi90o2H3azkbGs1ryS+vT/m4Vab5W0rOZSLKJAPTN9Lx
CDjPWXV1yJF3KvhL4bWshB2sQsv+wrdgk8TJaxjQcjM2bbJRuo7Hpv6YymTnLA14RvWlk+qroqj3
jc34NA0Svx9dTzWz9zkN7tIc+GQ0hcc0kSklaVR0CMV+iGbEMKqSvDAOySfk+burUSGgkKrFCG2b
J2dxPcSxhXe/ovPDtO4TV7x0VQPNRSe8xi2Xb08y3KtacoOM7KyI1XCJrUe5UjTzOjpEhrqJASKI
RhQTy2jWblaRlBFxwD3GOoetbq1j0hiqBRTCrQPnXbot/TVsYOWqrywIJ7nsQR7lkxIQ3Y77+DzK
2DrWuAk57iKgUcjHjVhJU8J6ZeSDDZR4AxV1/b/sncly3Ei2bX/l2ptDht6BwZ0AiJ4R7NsJjGJS
6PseX38XmEWVxFRSlvamWaMqY4WCjIC7Hz9n77XbGfF73vpA7ekXEN7RyYfSNBYCETVVVR/adjwv
9bLZYe9C66AhE1HUqtkyW4lXQdSdmUpAlzspIe3MxsYfZ3s1j8sdSk/LVdFWhQoPMj0XqUzXi7TE
y7nnL/b98sWYp7va155FUm3Z345xqHDAKvgFp1Q68xNVxjWlGHAUjdFt0yK7LoxOYqmS0HffJfnV
0OOgQZMMaAdhikpVEese/f3Oo9l5EJVgQ1T4pcVwmXeIP0ruS+xR+wAhQIoTHe+OW87tWRpLm9AI
j3Iq3yf4uTR0RoMNGDEfkyc99mlHRq07WFzkFeYDcBgj8bUcJJWSsloiE6shu0mUbFgzyAXojgtN
m+GBhNacoP+J6uNsJSdNLWlmN5cK1bibMvol/CB35sHw2PJ2quJ3q0AjOjmd+ltTKm8ylSSlzOlS
ijEoYtNAxhh7TrcfZLMAFL/EJUYSzJNQ9qYO6DBvh+oYO8M5Ejrk91NCod/HYb/J9WzasPWH937F
O6hdepMzMvAAotv7bqpjRK/BKWck4qZCs3ZdAnxOL8SNURX0DvQYmXKmoq2YdN9fG0l1Y/rTjZUb
80LcJ/yho2NgdIHiiGFct/jUNqVM5A5AusJNeaFT90b3gLcDF501RUSWRUPIqRS2pPGgPkyGcq1Z
Wc3lqXhc5M85ZslRUB43WGsmsU+q6VYO41WPS5weS3jbpeqNRX4cLVV6tIUU117hp1gUuhhHnCw/
cr8kxm/Uq4fOJNGyLBgmJiEPOr6kEpGK9qAunE1fNca11Uk20gP5d0EkH0a1C9GDMRelho29FDsz
TbgfD2c1y+AtBHF+aslrMEa4KeZwOdTN+vMq4G3k+8NY8z/vQ7PPWHApfy0CWjFnSRAihgYnxqDk
ll3pwsqyJ7bLGo2RzRcwpdt+LNeplWwbNSTcUKVRnR/Yqc4IuIZtkFyGfndlVvJKCzuXixt+If+1
6EwATywBKvGTKQeUa98bl78oYH75CcH3p9+oG4z/PlAnjKwrotZO8tMAKzGYbuSYhlNx9vmb2B+m
zMgGaTUSBLM0O5H3iQ/fQ9MlKNmSrj+VAc5pydR3OP3osPloQ+K+B/og9Q9SmRaXOfy3yZZ3TIRI
Kp9KNiqNdMw4Qywwd5eEz9vX6LzdriCxSUZUpzMQdA2VbFWjCE6RFO1Hn0bRoLJuzAxe9YQU/MpQ
0ueELEUlDaLNPODobhSojUi14AlpL1KtrsFDMoXTKpN+hI0LuNIYAjDv4SharF4m2Df1NdIJnhCL
21OG4yXS4zQLSGFikrayMsRHOQRXPY8dLUEFwlhoQ3lWouDO75TsphqYHNlKcGZkpbFuzLLdmgpg
o4IjTqFNN8WQfEtZPQevBUlvRjNHO+bMl587fY2teMe++GhJaHXEoGynWKcjUIervMyhguFi1yBd
zDqlx8gy81CSkVguZdu6BS+WKeO+k/vnJFLDF6JgNjIZg6BrwyM6bPRDTbUGWwYKTR2vMtNMoTYq
Drix8VCJ5jdB58ovnwcWJHgwLCUKpNKf16WP/RLKIO0moajPmt1kHkkc6cmU0OKwnz4FDdnaOWEr
ijl6VgTMmR31yKeCYiyEy6cGzRG7njPM6tEorAdNz8N1kxnVuoNCuSPYGpoyMjxaoT1dqULPtiqH
ukfAKolAtUQ9wkYkZ0XuRkZ1HWTYypQQK948kDrRlksQGEmi2fxSF+azvYRk90oh3DpTb011onam
S6UhEDWLhpx4Q4IpOpgPsWXuBl/9wxRkgpcD24Cdkm053vg2fay+dqtCu4bqzRNCPuikXhs9YOs4
vK4i4yoT9sac2geLgDaHulFemVVHLVj1K3q9vWsZDVkMUCJln4xMaODPEs+EW9rao6JJD0rYV0gW
iTgJhUxWDK52aSxQFtYbGcG/TeCeCl+R08jTE1hYljUcBJQVaATk3SOX6dL2RhvKk22Nu6aYnrVB
fqm0+jkX5goQ+TGB7pj0yXmBtlbk5nqgLxri1HOjXLiqHV0mpZTsJmsGKD2tzNT3spKChtwi7iUs
xl6yLwFAfqNb7+PklF3abOu2RexmNqGnknCJHODMxMUW4ScgQjPIGFnOuN+oUJMOTIlCcrAyAFht
nUAiLCnUie0t1moiHTJO8XBAMK+kj33ZrPFu5vYO86uyKBJTf1iTfbXKa5pJnVTF+HiZvDLBn2kR
Chsl6aCQNtPIbLozfZYYuwY2wwvS97ZBDrRyqM5yy6DqbVPpPC2HcjulYq8HsM5VphX4cPlumHC7
g4w+tByOUsMtISUqW8tWBeYa1x8uTGMlIKMO1on+pkk8r771RX9fyhL6XvloGkg+R18/g2CJJM33
/UOnQv9vDEUBvwNKcehnr6Ru2BZTy6TVFNu6pwoRtGgdQUOabGTlN0fbr3buH1aqtlx/f7jeqqE9
xXaZdCdCBKDOHAl1dcc+I4XrPKmPCjeWz48KBlw/XKfhfHFS/Ph+H67TKgkO3C7YGYriVRF/9CN+
lrM8eBj07edvtCCX//JOOO100GaWYFD3ocM0NG1fxXI/nmaFXAXEwM2Sv3ljNEGxCwuJZ27sD2UZ
yQRkyQrTXaCsZgziaI6J98OTyTejSN9wyV2OuQaTXuvupKg4L2RxnVK+cetBmaIuCYAjMxFcx230
lKOqk8K0vAo6Mg2NMGw36EUPBtMoCovVpMiDS4m3YQ4g7m3Vvi7n1KOTsu+0dhdp6oHMjJ1R2udD
Ehxqjm0hJYdEzVlM2EZDyx1L5T4r61WU+ruhhIaaohlHrfA8y5PhpkPwWI12fa8Gy5yi0YLffKo/
91v+/Pp+/FA/6HcSU4dn61vjyRqfwvnrZO0//9Z+9+9/ODhkCVedCR/xFFnXZUzmgXb7+Rv8pR7i
+fvhDzA/PH+ZmSVyogbTyVAvIlhMfEwyzqHP3+Tn5ub7p4TIipIU8o754dEbRTNAKOCvIPdAbV/a
IaMmuY1G8ZtvQ/35GV+aU/i8wWRy1NqUpsqHN5riKIdgUaonypgXDjXvJl2jN1r1TuTeO7lzvzPd
/uzrVeSGd+PqOV1NX1nRzfZ3SVJv0+SfCuSfl/XbL/rDNmL3kV3aAdtIu+49GN+r8brbZJfh2l7B
iarXyobPeY2zzcHQuGIw1a/0U/7y+cf+ZiH5+Fv88OV+5JYzp0gtteZzfxh36go87dq+EM45WXSh
t7k33DPTyzb2KVyPW+Ce2xuymzfjln3PmTeF7TQerTPP9qSzbptvmvMQLDA5TXeF052YrW6Mnb0D
D7Otb7P19ee/+oKg+3S3+lBBS2oTpaCJeS4dkkXWzSsqmRvFq1zA1F7oRSto1ftic/Fytup2RCCP
bryPHXtPdIfL4bMCpfaH7959/lupPzc/3x/k73uo+eF0QFfd18Lktwp3thO68xaC+g2ZDInLaMl0
fAdFl5NurFO1VZ9opK0+f/9fL9b/rqMPuw1bjTQ15TSe5LlYiWE4zFJC9Dl+mc/fZ9lV/vrc/Pd9
Puw6GDe1vp/T6URN7fTDizxuB/PrpEFZZXxbrj9/t19/1d/f7WNHWcrY/I0q7k6hSLj5XZXB5f/f
G3y482mjlZomuqFTYhzUmD6gLbzP3+E3X4z40HaXstLKxcRCK3BOoJQr1YeZKJ7P3+R3n9OHza1R
UsgrhPeBqeNbYaZlj//RN/2tXPl3f8eHB6wr5qbLm2w6Df0I9uKUJaM7Zxef/x2/ebrEUhL9sDea
fiBNNOc4DUZwYzYZH2l7rmmdKzBsxcA/+uA/HIZ/9ndhFxXK4h1kfPjzW1okW6DXabuTTvJ6jDgn
pMn35+jsb9/jl1/PD+/xYdGkYCikKtTHkxHr9O8vs+w3XYXfvcGHLXFOshHPV9WfZDZtmtEJWNjP
v5m38/Gzhf/hOQ4jhj5+ynPM3cCp3GAPauvIFcHd4yFeBefdbzm3C1nv071m+at/eBoU+n/oZkLO
qAcawzm7KlpVB9TLs3I273rnYoYCwtFtrDKXOe2l5Fy1q+VUv3isLrQ9t/bQiVdT62zJfNr8DsP7
y4PchADxXrp8fHKiepAVn0WnnC8HueQ0m1Tf5YrrJBvdu8+dPWrEwzf5K5ez+nY64LD7ze6lLtvT
Z1/Kh+8duY4ZVqQGn1qv92YP34IKRemQelf2yTzTNp33qK59J6djuwaksME79Jsd+ne/gvhw7mH1
kvR8KNuTdCicET6dE/9hrAmkOHSv47ZcZWdig/XoW/CoueMmOQ+8+PXzR/Pt4vXJp/DRTZPAnNCb
nEezXqNdcOCzLVXdLnFv+t2420VL0XIipOwelr+XrcuNuCCJyutWpKs44dPvUNXaUhj/5ff573L/
CGi2JJvZUM6WUq0Q+W7M1BvX83o+iw6K8xLs/HXiWrtyS1PvbHTF7Qq2HV9Ru0nW1xGxk4Qgrd4+
oX9H9ws3+nuL13tmUP+at1E7nZ6z1//9f9fPLzX/JW9/kS+5vPK7PhUnyNKPBRojDA096Q9ze0jJ
BEga7z/hVe9ze+sL2UZcaVWkoGRCLhGq73N764usAFAWpFIgefuHThD0AT89T4sARHAt57cDrqNj
svpwfOCazZu5GIfzMbWWXlHEgKJnALEYSDMxtutGShoSgw29f4Qldyibkf6ZTOIXruPIBdJFuZ5b
ylUQmCtp6d1kE40qU46kg9zOz4avzjQ521eUjM1KxLQ3ytS/BlhnHkl0CJ2px51Yjn11wkizioPw
DjgLg9ociqRt7TNCIOGBfEvG6W4Is73Qk/MqrT06mltgCtTeMWCXKANUH6dK4MwT0SqjDPsjsGkP
A4B+jQXGElN6SnrpFTVm5Qkfu8k4gDtEf/wHE30EbbJElnPfeUqNnGpIBuSdNrVnqHMTwUHDvKhv
nb6j2dxNxV2YFZeqiS6/oHMtJpznVceoMqg3XUBy884stauqMY8QpF9nGslTfmEq5eBpdcL4yVzj
v73PKs3xkdCHuXHTGwS6yfG3KdAXiJh6adXAQixU7piTm9tCalVn6tqlexim67FNMWLYSB1qc7rO
gpbRGu6ZLXpSQvGwUKzkvBPOXOizm0UkajZ+bK8gZzbYKYNtEjILzSR28E5CP0FCtzeqYIPiCTet
EhECbhSSdsTwGtHzoiWa4Ajaz1INjmBkEiAV8qYbm50hE4Zda220psVobDvMtMldHiyRdeqSXhe/
Bdmlb6F2aT+7o2ailhqjYUWixDe899uRKLywXZLXs6YVx9ZvG/upNuboD/CH5NbbCtpd2gPM4hpc
k0Kmf9zMNs4gXDvrEpzoMZvV6NYarDtIdiMeI7QLERRugwCQ80GPVcbVHZmKk3Vj58NOy4xNSUTS
JkWasYX7fCt1PpxCedBoCSJN7oc8uMIlUCGKVvPzJre9Suaz1KBaj+FUkHIQ0QzWReHGVTpe5BMK
NqsbSizs/deG4OWDSNSeeMHwtVRCylh9kuGyKSfJKvzWkUH7Z5JBo9Fuu21NltRWrc30ujKr9Lwv
RH6TqFPrlYR0ur1e3hQWcuzWpBvWzbRjsbaOZp4gSpDgQ0AqctpiOh9a23clDQ1LlhT2yojU4dCa
CgGYEYFb7SQ/j37pVuFwh4Mcpzq+XVBlZewFuj056qhLO0myh6ckHgYnnyvfi6w234xlkbwkmtFs
045RDpPefTLA4utnch7RMixT2LlEnoYr5XLQFP8MpYl1tPrp1JjCRscqkaddRKzMrOf4lK3RaxFI
HCUL0XmDaNPBGjX/ex796ZVQKAX+/jwiZ+i1jp7Tv/oSl9e9n0YKkBNkYjKBl28Afk6DdxWZYn5R
ZCjVGJRZJT+pyJCKoRKTAZLwQvp2VILvp5H6hefIsASjWXRfOBP/iYqMhuqH04hTDSgbiGwDByTO
3A9VORlHdT5K1XQctbJUFl2vJY6lwIf0TUbCZIB/aOUW4oAWyWLeIutZdmp/jHFVmzosXTVcaB0+
zSGlF5OjmepLIDeNW9j+c60k16CEsospSRAOzya4X4MjA30cUkfT/Aa9EgoAegQcuk20DrtOW4km
qletOQinzxTjbO6abCflaUspmCSgAkemKm4cB/WpJEkKh7t9RvJkcoB1lntNOUzr2rBLJCZMydJM
Lt3MVmqHAGH7pPfTPjGiM6to/QPakQShuU0iOdkDqJNVrHdZQq7xaIuQIRhogAruBO4vUSIEx6Vf
WYyKZF16TNkbS3PM9yLsbhQTnYSf6QW5MWBaAtTDpzo2X4acc6gqhLIpjPjbHMdPYojIR9V7JWOa
JvyzUo+n2zprfa+qQ25DGsD5MH5tg1l9BMXBeDhtwYHjdfNEk0JwAi5P5JKd2weCYpWVOcjSXi9H
+cxAXrWJQpXs87ozz2ohLi3kYNfwKXZDON1IJS7SQs8RhVtI5k1cb7Zf5y4wPBOBLWQZhN5wyGV0
b1jJpDMlRCEiJuxajJ2CXenLWnJoffiemyCTAMJi5arN+jzku+vVJImOEyNIw5ECxQ9o3vEv2a5l
o2guLbuSQIEKCS5pO6k3EioR9MF9Mu8xaNrnEYGyFSxuq4DrzYfgn9t+gfQ4SuxvvWInZ2phewzN
COzrYQd4/1bTb/QmlaX897vXEafXX3eu5TXfdy7xxdJUylQ0rjjbl8bt950L3zTgJlkn1BNSwOLD
/qGOxn1NdUte6Af9q3jbCS3EEhoYfRkL9D8gN2n20qL4772MOppdEJOZAgvKRE/9sRXXzGRAdUaH
jE3L57MKAjbtg8KCautJY9DPszP7jBnhQJth6lmtL4rjJGcA1DqyPJywNeT0aHWRDIcNh6GJOLSR
J0lHsgHkxF4FBC6S2jsPBrXfAIUtuB+6TCq9WQ5gEWFPkuxy11Aq4+AG2T9ipBFgTEKpCNbQ6aDz
j/m9KndotnRt2+bgSpuGmhZzLjz2iMjoLpCatd8hj83VY52bBG1mtL0n+SqfIqy0ysit0i8PSIwO
eeWfKcN4R194EWjAYy/LbNOVuxTLLA6IkoBeMwb5K1rofKMYnMgiVKPDB00JOAMitC8U6m1ysDVH
6hrm+COIOkJ9UA9k1p4q/A91bEcv6vqHdjQ09CGkAkSy4cH8uMAoMa0HsyfEraMc9PuqdTUxj17S
ciMmM2xeTUaNvE9WV6Q4Th5ZhBUT4f4PSR8PqRShRVzi7jNf+WOkzgHHj0JGrrbIFFKU9ulZbBE4
EtX1HVGnGbUebOcO03Af9SqsIO1aAqNfiY4OSIK9nNgRTHt+udOxZzmjXpxitbiqqsH1RXlANYl1
AaNCb3FsiGqFDPKrPpHiXSMTwGHk9GnipSH5H+xuex2Wc71Ancnx1Bx1AT3XaZGsrQX+LGkAgRYc
NNHbJAxCiFaC4L7LyUOj9os2BIZHnmQGF6MgbE/HlqJU7X6BZjqVXN8HC4d6piE9AaZug3FljpCq
41EBmxlfBXl/FhmalyxMa3OhW/sL57pciNc1hGFXBoItLzRsq9Jei4WPrSykbANktrGws0NwL7mW
3ApknBng5KKszqWwLCl3cRbpb0BuyNxxmt0NAkA5979O1h7lhd0tYoPyO70eE2OXL3Rv0wcNHr4R
v+lA86BDASc9EYb9QgYPh+E+F1DfY6DhI/BwBYi43nDMBmDFc/Di3D/A2VjcAduv48Ifb6CJuJ1I
OD+BkxfQlzlXu2s/xtBfLATzYgp2wcI0r4CbdyaIJit4qhbqOSzv5aoJCR2KjOLqcnfbRzIBLgsv
vQCcTtT9Xhb2c/5GVA9gq6uFcs3VcR0t0HXg65JWXAzwBVEzatc65ZZnQVPD+yWdglA/QkSQXA2Y
+xil9+if8k0O5j0L5nGbAH7vFgI8k2fbzRcqvLbw4ds2f4wXYjyYUSIhF4q8LRPiA1NlE8gQ5iMz
WWcDzHl/oc8vble08MM6baZzBUB9DZbEKUDWl6DrC9CNe1ww0NyU8ZWs+KsY+aezeMDRrcC+b+bp
29BzVPcLF98PVN2FdWPRJoWany78fOI7rgnT49GRNSyMilTwAETwkafCcElI2uKfezZDwPytmeer
0bSPnVEdocO+Ju2oeWQd0M1MaMcbrYB3Ln+rB/0QFLD75+IxF4G6oiW5ExrqjnJUDjJuqrU1Sj3p
HuaVPqr6LmjR1wGyhXumxkeFNNJpDjdTCy3WxthdU2il8S5sq2s/rL4hgm+8fKjPpsI/X7SopUVH
QZvQTcthYB5s9kX2RhACeOpXouiGTZwU93mBlU0MICjSxge9PtSrgWRWN+qHO7shYb4rJNZ0XvKP
R8njqLUay3FcJ6im8MBrBSMUlYzaKbxXh9ehnqhtDBw/+aQfQjN7HCc+UcUGpjG0KhmxxV1NfKCr
NdKdqhuvIRd+B9ErKAXN2MlNAU5BBwEqU5/wMJS5eVPWfGHE2oGbS9uGLSKv1lUmLvo4QXzrw4II
Bom45v6EpuqKP5Wcg/B8znR9behLwl8vgZpIxZngcPdCItO7ArZSh+Rgpw/GtVr6D6EgFrROo9ds
aAa0wgORTMOcL9ilW3RVs4s8C+nYWPd24/xbJb1VScqnPccd3YS/VknLa75XSQap6aAtca+/1zvf
qyR6irZM5USmOPOo5Wr1XiUtpRBZbRQV2OXpKfKj9/ud8QVlL+pBWoMWNdY/c8NTVn2okkzZtrGZ
LeFrsqYhmuDnP0xdNCQ5yOhFy4TPJGS6SCP8eBkUwMtJ7ecekpwd+rNJlmovh0zo+mRYGcxplBWp
JlOOaIdMi/RQWVE1kacDEoAzvhuWo14Z0fEBRktDbaMIuHzcH/Q0ai5DyY9J1JV8u8hZJWanX4iu
s+vcE3LZ64fRMAYIKgp6teaZ3OOaWq01fdEQgP3nw6v0IbblprSPYSWHOEBq0nGGQb+tipLmWJQ6
FcsD6XASA4Wshv4Q4U1fq1aEcIgoiyvFTIavcm4Y5Q6devC11+uRXVjOlh26AEJY+KdYwsbcS3G4
NXUCXxxr0KZLRaj+rumK4Yjjdjgpcd/i7Sm/FYOFSnFU1frZisgdS1td7QiANtQdZNz2hqzPzOUT
NKBRpPamD9MBdmNAzs0cbVJJ166sWU5XoxZU+CPkUUcHSKSaga9yh3qZaYe8zCu7uFnrpVJixWwy
ZQCcqX3la2q3FVZaeoWL4de2Q/VJm8v5IpzZeJ1E7dSvCXS/Q1c1wW4i/+yBHpKGCF9VL3LkKd4M
pfi865IXPtJ8R61MGkkTyeSVyrJ11AkLcLB8hCe0zPgxJyM6GVHTbGw7reEH2NYJkzHcjoqaB3AQ
I0KS3F4IRknPjMFv7rqs6NYNxlAXeKWKNUtJZ8cMsZRPNmlFCmHtl6AcsblytF9oEa3jFjHDgeZd
f8BEuqc9TP1oSda6Mqbx2wBeZGuVWbAfC6hHWIuEBCHclPcZNHoAA1MKdLTloltNVr4pA+KxdPIC
aJrXKAZn1fb3aS2ZdwAp7yFRq2eqZJXn/Pr+Wkoy/dgUqr5u61o+57Aa96k1xLsgQklK3zcGlFhO
V2FtDV7fDNSOUTeuuFD466ZqmsD7d2f9c2flwvb398/Da/2LWMsl6/j7zkroGioyCjbmJX9un+87
K3ECio3vcrFALtyuH+Y4bJ9vOF/m/8xyxUIned9ZdXZWmF6yMBgf4Az4R52zt+vlT9dPG7Ig2bG0
hWSBM+LDpFQoZSArxCWdBCQoJ+mjGpwBzjRPVLq9Eb313PjBsK5KAwbGNMdggrLG6ibbE5EaP0aq
0vnnoV901Y4cQ6J6Y/wl8qqUjE5clEBShwsGsaeSAvVGqgcVGZI2i3XczA2tnTB+0lKDTTyfAhwx
Pvt1gKkRk1a+bPGqPofr9u1prRb5/073pSzG4diKtHnEOBmj0x7TWR1nT+vMJmrWaj5Gyj7Lhrm4
DmZaQPB9/SX/oGDGYmsBqZciRzXWw0eviyHeQP6piHrxlQ1+amU1jNW8IZSqvpv7sON2Y0/mvNKa
DkH5pNrzuEo7zazoLfoSmYx6KTVgM2bz2E1NCEteLcxrcsdAq+SijFcmsaHkh4dJe438obZXJmF4
5yN3eXVTCf43Y7DiYR50G5d5FeCtwxxQiF1FQpH8b4P7Pw1u6o5PlmiUB80vqh9e9H2N2l8WFBBr
kSjlv6xRZJmyqVEdUcXQd34vfkwCP/gPY1AThehbY+l9iS7FD6tWENu4+ORZ2P+gRfRmvvl5idJE
tyzZpolpQiRaOkg/1D6Kr7VTUgrjFM7Mam5VQhwAwudTBqItlJgxWXGjRsfGSrSHEgQ3AbFDeilL
mmvLxPR5dTS2kdsK2cc6Y5lNtcuKGl2G6LXFKNOwoJrG3w9aOoSgc4s5uSyy5B7owZWphE/jgH2W
AvA0mXnl6bkBsluMBC5U4Vdk9SaIoVylDACJTdiSO7ZwIvIY8JWaTN6gNdeh4j9wXpfhoZDjeaJf
kQXjXZJy/8+ibt70Rp2UhRfyr5pu0U1tftSlydxOYcwML/LXSHyGFbFskePnffkVL9FT0Mem25qZ
7yplvm6YDbr0nLZVLG1hULTOWOdfZQ0CSYqRDdMNMV2B9KIey3w6FoxmR41IQDudIfmm/o1SWZcZ
hg576jfxfKm05u3QN/fYSVd6XkOj+/es/POsZHn8/UI8e05ef7EOec37OlQXJhcdVR2hAkfRomH5
flZqX7h6sKDooBLrqfOj94VofzFon37XSSxr9H0hWl9MLiEcbDArNfkfUvYhgH24hbCYyX15C1eV
wXQu6oofVyLzFXblKofa1KfBQQqyyr8eyTtFOatGyWYgJdWZhB64eBHI30vTnV7DJF9MudvEB6Oe
ETJxHAaZaU2MbGI9dnSHdO7wZGwoZ5aBeXiIaR0kGMwlOzaOYvYrTjiSN7OAoUibrO3ZejViPEH9
RESj7+szwcVhcMjH4RDn6Vqy4IBxNHdXbd8wnhjNp3S06WHFITZ2hRUhF9sZlvagBleVQkSFbE6z
16joNvKs3razcrIb+1X43WWkWedMb3e0a64jPKtS0TxIgVUecr84VKG9q0M92oEheEjbwLWk8DpT
jVuCB0eHIR0iikQrqdCDRyrknWaVq1j2HzWbIKZQUxBwVOi1237YNCH8S1pXeCyAqNc18EpR2IdK
o82U1CpBz+mpSkmIEXFwrDL9uQ7b83bOv7WL6cNuC3cumEBPfrnPRCJg7rVbAu3o585En6nkPs95
sEpUqP6lRhtQTGT5SQ9WHV5Og+67YJ92XUDvBy/dzC7ANmjlo1MqPgYheKbcih7ppW2o/fEyavW8
DqZ0BjMavjRMqN2pVAyPrtvGxN6IsFLbZJZ6yktd9YY2Rf1NO7j0Q32l1d86c5K3ZmLaKwZMDO0g
blI3fpNGmoW4b9CodIzMI1DfvahuLKg6ZxIutcSoL9Og2dp93TN6Q0XQlsI1Amb6oxxMT3Su91ag
/yG4MdFqjG1SeOZHHVSnEehPozxfVtCyGTw9DqVPb6oNv4lMx+M0JPaqbOJTJqZtgkbHqXUFWWs3
vI4WpAcs+MywymAdq93LFNbc5QxtLfrkZaKsRPtRl6gkiG392jN9OeNOzEwtWyKkW0sxUm8wCJbm
7ze32bSkTftGBD6zJ0Ideb8lJDKL2A08BiOQ4ekkpg5iAh5Q+l8O0XDE6iATIfYMrqaf4IvnGAm3
Uy+fzyyGy8mKxYYM0uGy5OLocFTtNS3WoDHZRM3ymjkqpfM4YFYgRrlYaTxtpFFWeDATBX2FrkXj
Dky+4WDkjvaWNc7UvMawKqKoxVQ6BKRP9Wuc5S+WHJyDxIPyrSpHratIY7LtS0LhA69J41NlMs9Q
lXtaC9N1rUjJY67ENOGrjJsi0z7Fr8uV1fJA1qaWrHLgWb3eclDB7uF6zJol24vnRoWIIXIZ1vOA
HZe+2moMsDbABjoiD1klNoD/jjErtndTJjei+Vp3Sz4Oc5Neq3e52Wn0ra29ZGFKYvRhYfWPFUcl
ieJJpaZ3jBySeBeQ06svB2UeitSL4KOusfdm7tzOuAoV9SHOMn9tN/x/SXG1NvkMjiFJ8KUWGUy7
Ropl6uWqoFu6fL++iasWXloFN42AwFPEinKHudvHKDzCgb9aJmlZgbmmwF6LFghb8YZjg8u2dJbc
MRTM5q2ObwiheMmVu11wbhlct9CI0IssfcwC5pu1wN8GEqoiaHAyVLgOOtycgIkj8JKuPy3VHIJc
04GSm7qM+GLocn5Zbk1oc3QwQ8/g8CCOKmXBgqRTAVRkN9kbqC7sL/IFXVfokQ3rDpdyUMlb2iL3
lD7rQS8P9DFfxwWAB2xh3y5IvEAZN8LUr/+tEN4qhGX8+vcVAlij/3G4UT/Xf0S/musur36vFVCk
gKpHOGJbRO+8DW/fawWFka+sWugg4R79iTx6rxUMfgJ0ALOVWG7cP96rtS+ILZd63vhPsf9PinaY
Oh9qBUSHqFGoPhRkM4BEl5//ULXboyHR5dLCk0TEsGf0IOItNIY7s5+qp77W6N23Fb0bx4SDL9wg
mZFA+kPVxLdTnMQrewYXd8prFbphVQZE0zI+7i/HwcL72yHDIeMk4LLaEfiR9kT94bWzLG30NHOp
GZBBVPOOIqYOmk3L4x5eW227bH4tCJhcEox05mCOb7Ii7W9R98WqmybyRLVuwW9R4zhcl2XKyBJW
M6U4FtyUK/1drvRShxO+7e/KDCsyx0E5k+aQo4sj7Av8G2e+daElffmoZVX8KBklED2yYTDL96mP
Fk8JLCclyoUwDZQojFLnjOIhMn3XLlQmeHLmZlrcHWVJZCdh5v1Vxn15VQPd0FnOeb/tJKJwurSy
ntScDGRAa3ZBFieSEXy2VoTrOkanfyUpFtOEuc2ibVqL+SVTpYXeqE9N7k5yZQAV6GwjZk4Fcjkp
dlavtRsSHSap8aAC949thNKPZjLWXZ0xH43l+M828/xn03katP9j70yW40ayNvsqbf8eaRgdwKI3
QMxBMoKjRG1gHDHPM56+jzMrMyWlSurs3uamrKxUJBgRCIf7veeeb1ncHc5A/m9z1YRbG3T1um0G
6hpu0V67VFVoWlIe8jLSJO5yOb9tQPecy48CSaGEAxLxVi1zP/wookQfBRWyepLHNGv1u8ntM1Y8
0aOhI7AiznaqUXQ2UsoqSPa11iQTe57YHN8QnodvLqaNbd8ZwSaLoxLZusuka6u0JH8ojb2i5tx+
Zu9VNSd83C7Zpt2/HZb/FBmgQ/77ynXx1LZvP6oE8lN/rljuby74hjB0Q2eTILMV/lixdO03Q/7P
DpAc3uGvKoFkiHEYonQOpkIdAuTkr9ON+xurG+SKPOJQi8DS8A/KDB8r5rckigXywpw1ZykTpvtD
CvHVijX07qRQPxhP3NYtGepDQMpvb+ObDOc4Wme69KGmCMZmlCDpg9Zr+CwoYMbdvloYw55I904v
WrJYlnUy6d2yxlpTcBNiLRTWywQLB8oGRbusu7Bhc0Y/BCpVC913V8217nZuW8Kz4GTNAHqEb9Yq
q8pRNB6dGIpttQj1BRlWOioxjDJCMs/uw0lb5zqd+zXK5px5YOejKp9q215NHWfbDKFp3WcaJtaN
zQaJgiVbpUKY3a5Shnk3GXOfvI+GM23ChN7GOgwTlmqDNNddlE7hQQmc7DkOCrFyQxKCvLmah7WS
0ckZctrcbgQSqOaEmFLGsJ4HKYFYltzYdkA4EdvK0Nxac/QuRsX08sJ554xGvEGOPMGu+LdKSbBl
DX2zBYYZj1FYtUdHbgfDOMcr3yFKoAVAMcNm2FBHoNascpgzxHB0intJIWpzrO6cxuQEFYzFk+bI
psVShoeqUbKzKVGJDNfp1qmKt9RGQWVkBvP00WBu27KL1yppqBw4bZwbVp+dU5Xgq5qAybzCgIMI
elw7SsnZ0zHeolYpd1RruC3oa3t5aNbrpgxtTxXKc0W6404sWe9zLnC2UdO82yOj8pXO4c7OObKu
xiZkkqTT7W1Z5u3BtdRkpStRcsnfDH5RihJQeCBDOyH5wbbYrNrjfO26ARZJt8zxbESM1455ykHK
dLyxZ2EuloY/0zE+ZwWkSFgnodc0Jr7r0UaEZGckpVdDTWfdSLZaJuprsraAA8Oxu7ZjzlIErdfk
xM3kYNFOyTaL6k7rdkDe15pTtZ40u0d319brYCrSnYY816egnO/+3fD9XhKic/Hfl83LJ8LqflAT
4of+WDU/akIUZ6mAWjbLJv/056pJTUinJQwnzimeuu1fNSHnN+g9KkXEILPX+6gk/VETYnNITiIs
ILsz6VTS/smqSYHnu30ef5hgWTdZOfkr+IXf7vMAWSwhFHU5IXJ8qI2MgI15LqSfBqHkkm+cWmy1
sdxbM5DW5D5AoXGo7Ik3y11xlzjmpVF2e1zIa1K0gnZl2zkn4Tgaq/usdOlf6+p1qBTNvhvj0F0V
uNieGbpgcSg06XXFK4Lj1frQvUrxK3K/eJ1LGawqtbDoqW5HKYqFrj+5Fs1tZBirKoJcqrHKzthl
SWa5NzDHeaoUz6rNuBeYaKPYOTBMtJox1DbgZAjcRy9M1JsKh63rQJQMLVLbjkJOgOd2qJjG6IPi
fZYKXHYxm0BKcXWpx7X06dThy62zZGInLBW6uHRxwi2rTkXL5+LaDVWku1UZwaeBG9BtVbD0jlOp
+BzCj1pvnww8vj0+36W3fVpWNkWESNI6w7EZqk+RdAAzXeE5mXGdMluBU+MhjWmmNniDuwb1nBQJ
awFBslX5rqvaChXmjdtXCMaN/KIK872Wzw8pTmKlHAg5seaVqsyocxj1pY7ACVNR0o4M63RXtwrT
EJHwFWzoqwA40reqyDnpPBxYSvBhDx1mq6gkbdjF4VMm2KhyHghr5EGLXyAB8WnHvaBTPBQGdSP2
5KrXTppPBsqeLcKu7xtSYCGbDSof0ANNXfHQEn2+7SykWGTD53uja/y2tS67CXbNKHXdj4phY6rB
c4rsM80mxTP7aZUU01Mo8GHyO6XTnqRFmasYUQGIDOVJbUgMRVMDKJkavkblD8qdYQze2LWjtj2R
x5G4yEaDaMCiucVbal7pXc5JXg8HGHg3WS1Nv4uAM8n3gxbLBnuFWk3bFkrcoVOrxVUfO1tbMffo
ox5Uy9qpvf4wDmTcYhtTV12ra1cUMJILdgsVXDhtuMhiZpOEAMUrpsSEPFWC7axp6lU1Gfo1SZb2
Lk6HrWsi+hnDQ57CU021/sSIgkXNaI5PZDWMvgsaMTvkmXSkBPOgzHxrLJ7nFinREH8uQ4UNMtl9
YcTnmWRzdiLcwWMM6Bej1nIN+KuD41gqGyrSIjgS0hSir8um8OuzYGVMQ5oprnbK8vvUfLUsUNX9
V+vm+fdf9r+KPj+XIPDt//6fH1wCNQ8nV5U1UqWh/O0lZk6IbRKjNkzb5z49z9Vd4f4+z/3vwKbG
Tvxnz6jXtx9JluVP/fGQ+pAs68ygcNjnU5Ak+Z8PKfU3C4uRyRy/Aagi+Kc/ihH2b7a8HdjeG0z0
09T/a2svfuOzpBrBDyAuNv5ZPLD5YcX56waUkDlYF2I/PMjUQxz5R3x9AyLim1u9I+w9cPONPQMd
dy2TFNncYNnPPlUpNvqpc1dLPB/kkOO2yMPLrOyR5mlvpjKAQLsWuMzIQIydHSemYrzFTUinHTgC
KMp1EWM67koSIZ08e1Bdlqggdt21GVcvWs/EWOcwD96HaNqGR5Hl7xpAoaV3JJCE0RfhZitlGMOH
Ru/VXRGkxzAfA98OGCnkzy43fR9flTG0eqjpj32Gfa+O2f63hsmmEl0hk43B+zC2b9AE1DVoN6yd
MmFmpolvyzS6nsICwdL4oMw1nn8RDn5pxZxPFOtgCcVa9SLiHXAjYFW7fHas5AUB7FVOXxhvHC+x
b9p03VbaWcnghrPwsqyWY1LGtAsbS121sX62kuSsFsbkxTF7gNHpJj9j7mlLw58nTDu+BG0Cb6X1
MZZNh31mxAOGqPe7YZjPtEHxk6kMB7UG8CTZurdtjqAt165hjxtKCISqK+5yjDL3EHUTKH2kQpJG
xDB3wz7UUCCGJSVUWpaws70F7x23AL2Ruty3aUmgAg/4dY9zma5FZxzYVCUbN51eOQPhex0izVcL
lVJ2njhbY3SUdRUaF6LW9rXpVFRSg+B6VgpibEnd3cwhkUVulpOcqcTCL/oiui6Fsi1lKmtsb8qk
/jJDRWzb0JBHvghmNbRjoufNjU1DFY6Do5cogk0X1kTR2oUNz5+/dG6ENMFm4w5qlq+zYppWUx58
ARLei7CpLmM8lSt+6byCkcNoXEwrohnWcaB166EQ7UHX65s0YO7JpvO1SiaLG7Knda62zC40uJP9
sF9eEB0bXtX26BQVk6CytJCpNvKZkujw4rNzSW/EXTmTeGuqgQhXxjCLkaAdo+NWtky2MeEQZ5sq
nB34P3FbRMaXwU5x7eWUWlrHznYdI69+G463yixTo6L5xTYNIvByuvC092h59AO3sWuTLkGvqTYz
c6fk1qOb6M9qWvK8nDCATQw9MqzB+8wEgDmSORbVz7NrSozYru1V0brimjZXZx60BZBh8Lh54/Uk
0WBjfMsghSfiSnDwOYhmJUY8wxPPEiy2x/xxlKhx4BAoEEj8GGrtYZJAspBoMvJcYEKZlyexZXIz
PjkSZB4hmsHGaeVIyFmTuDM4de3VEoGereJugYluRHXRS0iaGLX3GGpaN6J9oTvHwWEcDKp6ga7W
oawjBa2wxK7LmZObmfUcPBvzRi3FwEg1mDY5HUdHgtvM+O2JXwblTvnD3XBHNsiRU/C7gPkmnEgu
Tea6DPL5UCrzk66yz641iOd6ou4Zz4M4oAcH+w6noPcTu+s+MS0wlJspqph3jpSmvDXQSz6U0zQ+
ToGO4Vqo7dDsiM2wvpAjZx26tsrCcxZmobPvasX8EoRCDy4Ti+5v7qbdqneDT1pkYmScdG6NIMyY
hDCJYyjRyY0J++uR+25tETzocRc+9maPsJzNPK3GXUTllmE1eg5s9QvPLYNrh4iJqSCrh6jPxafj
fM7Qq933GitcXsUsT2mm085J3sPGvm4EvV1ltJjfbasdgeiZb1f2jeF2r/k8PNRWuWz4Fm+dALxJ
TrnX6nJ2zfjYp8jnqkp9IrkGsr8YYWTzG22kptt1QburmXzhXgtOc6rq/twR/K4QFYoAd9TSfVHq
GK6N4skuh2hN5lpD/l98EafJs05QYplMjFHom6KeK29xcGCbJt/DjCoGdrw7dbooBk5DBALSLyyW
bdzHW2VwTqFmxZthTt6FERF12u2DwmAwKYvXGj1DT3MAHbOBYXiCrm7zhdJ3FLD6NXkeMkuCSHwm
nclL9Bj4C0BsNvOtMagamY4c7nVR38SJRYmpsQnSq89lq8Y+cG5EjqVyV0f6lYlue2WFygbvI4cU
u3hIRXku8/pKEUQolqr4lDjDSzKKaDtO2XEkpsMbpu4YEJpu1Wj9GCWfLUq7eicOVcCkfp9UyAnU
fdU6X1TDYepGZURQKCU6cACAAqbUx+XpFTNWQcu+ZfqFfbluvonBbTbjwmJrON0xIZLFo9PNpM88
bZhfPJidw+koJo8wbmxOEDD++Jbh+XA6K/FtFuRPdY9Em9JH2s0XQ6k8pAYftepQwenLjuVm2ORa
+Ja47s7iuFoq/GtQOe/dkLxWrXbM9X+zO/7n91Kx1LD9bD/ZxMw2Pf297CF/7qsdpSGRFqrBoGng
79/sKInmNX4vh2Dh/XpDCSOmaX9i92zz/qp6sI2kRMKQNuGtchv6D2rFhhwV+OpE87GhpIQCiW8S
PCtPHN9uKBNU+bpN/uUpV+n7XkZ6Z32ZNDVy9lZTFCHtjdE6LH0tvojIHJudqxTADuOkjI/NYrcP
BJGVt64bWwRWGf1YbozC7j61Ro/lnc6OzbwOiZpmrDxMOofZKVxMPOl66uuTODvA0rjUT/0g7sJs
fkKh+KSTgMXJ7Ua0Tr4Gsd7qWR5zIGdPpKViPQ3BqleaA8goHbcWkCBsBlQf6vyU1hjta7rcuJXD
1ms10pvmhaAkyNlNVgx4egtmHq0eX21Iv24Yg12VMzY04ASOhbZKDft1DvCUOg366IE6R1HfkkX5
JXIgAMqA2gNTdgiP9WXZOrGb++WAAR8R4k0i7IvBaT/rONhSUWQXeVMe+4hJqDrQnZXZ2gwjNCGQ
xEiaUbWkN0Nd3dfmUl0azYAOuWAhbCSr0uQzySKmxBsySJLOmCJ/KsLsAlMJvB4pnIIRn1ZTEeyq
zRvRdzMwwZStnbbfIWrbqm6+03iCMdKV8JBwfdOEQeeAsmF5AAFJeA+gZEdGfBxrFxf8N3OYyChy
y4ciSl9Zqq4d0uWcKnvR0uhOlOTudV1iXgRE44FhXMcVm+/BQg4OCkUuBdx7KDG8MiMxQ4g7s2FG
LLTsV6LVjrRKb6rZwfSgOjwVCtv22Ikl6CemYyEzhdURDqYstlmMSVk3+8XvNNKj6oIAvTZbCYEg
n6fZWlTdbWGJ0VdIzPMi1dmYtT1c9XKjjMDN6QBe9l0q8gdC16YVyagEMFAbsWjdFgvBuLXCJFMy
9/fNnDwHw2jtRNT0BKaqBJg6n4TufLaD0NcpcDHDylCr/DPU4UaZGQMIllNGTiAHhI0bnLlZS6b3
+4vMTc/LLL7Egr1ZQdzLppliNnhsIaCJZyQc3HaalVyUekkxhZiMSHE+KQzlep01xr6WTIg7mniT
jumVVeUnw22OpivOQ8s+sZOMUGibzHzWX0ziIiJLv8+7jDZiaR+qQZzmeDSoJ1HqcoNNONQ8foP2
DpjmWSjTZSP6Nz3I71CrEBQmLpIh1fZqZENcZi4zdiWfAyXw10wb+Yot1P+dKYOpKMSJFy+8bow+
1w1Qm6bmJz3QzjVlGBIKnxUl8J2S9F07Ar3ISVaTSeo89ihj5l3xKZIhwpRhdHx0RXZUsr4iOYeh
ugAk0Lfz/ImGQrru5uxaa4PPmVLOPn01GkSuuXOd5SIrusteI0ajNx9HkT9RnTwsFhcdmeGrYkTT
7p4M5FObqVvTMHdGhTwhDjLGCYXpFaZTbGaGJE1dDuVoIGpWRPRMZxxjrSmuWxlpfZgGbWKBKAYS
Hwihcd2622mJ86nPi4xDWE74Th0z/1JnKvLglr8+LErI8MnUz9NsHmCZtKuIL5bPZ26dCptKlzWA
3bOPnT4tNR4Zus7ZMTGZa+14C9ZjpmQ7DQTIqypKsl4Iks+YoOiiXacYtJ4II8ajj0dioyRB+m9H
9z+PaeotP3lMvxWv5csPMRTJevzxnKY9wfwEZAWmAL7qsobzZ+XHpD2hAz7j96Uq5zKz9p/Kj6mS
8q5j/3UpR0KOS9D0jwc103YIulRSX6kl/ZOHtCX4LV89pGXZ0cJ8QOUHPh2/70fr4quGrg2U6dAb
VU6akvn4hzjjm8tbMEZoq6yMZEoiKi0t2TQfoZVqXDU3bkOSpW4PCqmWdknCZfgRdumCba36Vms+
cVgkDNNSWDdFRGiTLvmvpJZMmO4s27Ad+W+0X7a2ozLLINkx6PNpPVSKu2kAywpSbV/CGtas1onb
KCV/NvaQcINk0rqS/68hOTVoj+ZL9cGuSYptiQbrMBb2IUkawxvp5FoRx6YW+K3X++d80vlGSC6O
Ajd9U1m8BpmbJTuX29aaBYLYa8nV5U0Srl3J2mHKAlmX/F2TTojwQfIM4uHXDg9qT5e83mKM1J+I
CknagvVy7pDXS75P0xi0JtcGxdlVXIfRig7RdbJ0eBaAA2dVhoGzNI4Uv9p43AiHo6jZZZ3nSLbQ
lpQh3q34UHyQh5JB5PiqrtsPMBG9wMiCCq04VI7u8bEoJ5Rps2cBNSYdcVMElB9qyTumJBFeL5KB
LNBVX09gkUS/RDtXkpLBBzSZLku84REAsYu/icjpROKVjQQtlw/mcpqI8aJiAYlJmvxCR7uoglvi
M6rtkCSVuubGLvZFMwwsZjCSgVCcS3gTpv6wR12mgh8uLrW6D64hZB6zyLK8qBBPYUOqxYjuZU03
7jGF/1kHHeHxbp77nRJeZHJI30nmU0a1w4/m/D1arFVthIRHAqbikDNt32wcYhQL1AjKIPbNQHCq
btE8GRJApQSskASZrRnxH27DcXuykNias5wyIsNm5A8g9TKICdcZdfNysCrlMBs2ZCwt8LNltRxj
G8oEKlFDBOnqBI2tqiTrLkD+qflxo2HWGsWmqa36KEwWcaUkD64ZdQ9UoN8ylfpFdjs6lc7NDMF7
GKfc8LIh1DaWGThXMN8bJXdfdaW9EEl+Xfb9fYAhra1sAjB0pbqaUUbvdTkuFJbLTrHoGuV0eIh5
CYK147x1ynSMM/sIHH0xRzi6iCre1tOMQG7Z8JpPzlwQV0J43qAcLS2+yCMOgnFvBZeFQ20nRyi3
6aPwNpqncF9H2b5JcKTWfEhOxF5gjBNPSUgJo0D0FPYj30ARn6ahJGiUqBdP6YYc/01N0Ee2dwmp
dxrshg299zIlg8V5FzbT3V2+YVe/qdLaVweaK6FOm5COS1Qle5tJWXec/FHrPmwlJC1P2b2TqSc2
bfcwbs5M/m4pKE274hA4y3tVazfW0u/t3kFXkK8FI/7MpE5HRs590JOnSBhb0QzrNgwr0qKdc0vW
lVPqry7aBS/PjLfOnW9MZUIXXleXc70wLmn6FZ9xnuAxMTWMaPngD4sK1RbkL3T/70Z5P2ppsidL
6ozY8JQ71CcSzJhTubPzkvh2Lp9ZiHKL6WquZ19f5n0R9CvFYQOyKFs2iztbqH5eJTvRThvFIgoL
3dGLgHLLlGqnQD6nEaltVXkqSA5eF2q5ZUg58bCynPUOEHcIdxOCh7xULqgLb+Ys5tyOwg+vcc1X
BK7IJ0NiRXfbD7oMEcNbSSbRBBCWOOpupl4dj8Vni8pguzA5a3INuoRmoJ+oRd+2ndhwbKGoMWE9
cO+yhKBVNyMXuRzVbW6SaBe43IGBAnmhbhw3f5/r+IoVbkPh3G8jZyUcEPGwjfa0LXdk4H1WtY4t
lnMrRPXZidqbcJiv+/y1mKu3WlUjH/bEsw2cjAIrOsGvaUhasTr7oRFdk45zWQ7GDZvNd03BX9Oo
nooxq1LVneIOO6dVNmqU3SZWedFZ2j1HG3I0sAIIq5KRRMdW7Td8Fa9a19loRnsgWZYL1mvS6YjB
KNoVcoqCcW79ZezLz/wqOgXMA80tNju+SfiootFnPPypLVp6r8oRUdV+UWyEHjaJKE1KqhEPiagK
ap/uAD1UYW/1bvhEMtmXjvGFubL3NHnAaRgjKLtmRwrJXp1yjmaWu2Xs+vPYqJ/KJrkpFY3C18Ru
s+e9w8tTdDu7s7g7bSaghmsGHo/VAvWvoG+I7Z0zBafAWPZEkx2GQLskPtbxij7e5ITv4rGihkSO
1+jgpnAvIMwfKwQ2c0MrmmTe+6ARYIjtqWitG2B81WNM+7an8ThUVG6bRWbLZheZFTI0XKveSEuj
kQvVUn6e0+6oN+gOK1KcaMonBnLlUW56CipbxX1TzQdNL4+KbkYnJaDdDB6W3bbgMv6id4eG3sCC
L2VgWEVRklcKxPdJl1N8GrvYc+3uER8TJzai9kqGMmLtVeS0ebv6c9pEe1XXTqy3YEkyZZAoeqSO
fC8zO/UXVXuMrLbauEZ6lzcd0/NTuiW4/pykZO2l2NIKwjo3UHa7IBX+qCv5OiZIcmgpSBL/62uz
vkqzhFyP4kyde5sE02FCGFQp1Vppk6cOHYCcVOMbQB50Mtjrvg/XTaQUPtV4KmfQqhkPCeZpdoPi
vJKMtWH+fIuZYBOr05r2NetPS2E0nJbNlBfHuSMGpLPuaDfxrMHDWbScz+LUV6JRORS6yb1OqY/4
uEYr95nSXS6USNqmeumdZh0mrcuA2nQ5mNRUc5XH31db2v+rrrHFFLsuaD3AQsNbfVvG6camafq4
UE5qTu8DmU16Qwb57weI/yoal26Gv5qPv29DZZCGphpMHhj6d81H2naqoHOqnCaCGekf9I9TCYq/
yqHcfv5yfrTh/fpK31kiyqCctSXgSrpzFZkcl2xtvSz7Ujwk/Ze4FP7PL/f3njvvHt8m8hU4DNIy
+/bd02mHOEFWhudB+dL1xzp8KbKXn1/iR6+I3TKbZYm5M//57SUCVChktlfReTCZRNr287zOImq/
4TYGs9G7q59f7gevyCTuS5ocJWslJOz01YlBttD0We3iMzO1XmyAzTGWnf7iNQHtf38/fHMR+e9f
XaQNlM4SARdJqKZ1zQVM9er/72XIl/nVFYZuoQTC4NCZlqEYUW2UdwHtx59fhArsT1/Gdx9Nlc5p
NeRtfJ4Uw4ss343PTMCzwD1aFPfak963v7jijz4dWtfMQjGFyJSCLMp+9bLSGDK/SLT4bNfXtRr6
Vba3g/efv6ofXQPaWJjY7XQg5e/eusAyFOEMTXIm3W2dC2aRSn/M7n9+kR+9dXhBoW8Qf9jEMn/7
QkiWt+04nhI+n8dCXEScFBMWAze4TfqjSS9xDK5/fkV5T323BrHE/XXF7z6sCNdkU2kzLXqoKEZ7
EW7/YjH4LotAEtiWZsNo6xTEBd/X7xaftkThFk1afk4ugPX2PDwvGRZcW9fRjeUX63jza8/9Dz+s
r17Vd5cEvsgn6NbkPIgW+Z+MpGZRKHf/L+8dhX5marjzvg/iEosm7C5Xk3NQu75ON9bpfvHeyXf/
+08HdIa7zQVigsz69n6oGF8HUFGSs83Rd3Z0dptfYpO8yyT5xWv50Tv29ZW+W+CA6cqGkmZy1tBh
OddWcFsvv1jefnwJXAGai4sdQP/bFxNr6eCYS5iei+Jk9RPWNt1DM/aLR92PvkLcbH9e5buPPm2G
qJtDrhKnL5myI7Fx3eDgwjSYdmcl3WbWLz6jv70spgLwvTOezaMIzvW7rQIuGrvK7TI7d8O2br6M
Yl0vN//wRvvuEtTSvl7fiiHkDY3q7IwNzNMUhBuJ9Yu37W/rwMclJG7FULhLne3bSyTTlCsZJ61z
m70oy54mwS8u8LdbmQsgvQL2syi8/U2Lz9Jpj1pBBg37vLyHmUr2ccLG1H37eK/+hfFk9Nh/r8qe
s6eXt+YHrVN+6s+S7Ed11QS7FnJg5rvkBD4dxvAxCFigcGy3/oDx3N/YORpSEctjicBAPtivSrKa
Rj8HfI+lTmqs/0nv9LtwVXqnkHhyuwj6p+vyEfjtPcjcPpO/pj2eOrBQ3+zST+Uw38BOgDO44SnX
6uQFtKyAWTHuIHUSfzCU4Naxx3clUjc6dx4CP9JVQ5r39EkcKpxwJuT6PTchVZkpI7x86Isb083C
rQpGsh2H4BIwD167sp97I74Vw/Ipyjvh6xncj16Z/lRG+Q5F9MGokDvntvQZusVmyfRbrrUaO414
EmR/KBNnYgudPvERrl12qXsPjxh5FOlekxYLVxNcq+Z0ihhWRxpdedQxrvVIVTcgkhhDzeE86Xa5
lgcFz9ZBkTlS+VghGZupfaPukz3F9JgZX22nUWHeMN7fckxEHd/PlbE20mArcJiSOJu7u6Ay7wh7
R4bgrnrDWPdVq3r0nmJIrHm/aLDDXRE5HlbLB8t9pe+4avTpEivZwR66z726xH6VUMtkEpy23Rxk
nhgAY6xpfhvUcj9oNmNDClVRNXoINRyR0CF+5mQ06xg3DuNll+g2lV77SnofwrJ5YLLvue/no12m
yIWWlaDiWLfavg/Sa30GAQstcePwDgUxoJtSwnVk2VVjujciVp/TaWGSCp26R0oC9gJ7vM918zFx
3Cu9suHJh8LcVL3GRnOyj/Sd7kASCwb51Id4SDJmrWCrjOC+mhCL98oxbFLXa7MMihOVy6DcVUZ/
MUXTTUeaBGM7n4lyeEGvygQ84InfVHTzlqx01npbv9vzfKv2sCa16V7yMV2MxCXXAO2B+a5VpELr
kmjrl01lly22JmBLnC0icUpPDe3tkmDZa4ryi1EIhkHbGWnN9GT2I/eXVrM+SnvB0JUXDIa+BtyR
bmPkNN8oimXigCgBT3v3OiikS+iRIZM/t2EMlMZ8Kw7gsaNcB+THGH7kETSXrJSI8u+MZwIdcPqQ
dLxJS0F7zIqolZu5ftOJau1WOXWyHPUSBY3qgNwqvNL78mFqH7N6b/CdeyQIFBwNDCsKSbKArcNx
OktVROPugxQbemm309YcqCyr/Wj6fa2R6CRnk2KlercSYhUuRuy5xXUQBcm87vK0Xu4Hq6QGYA2T
Q4xzGKTmbREYFZWA0HiIzaRcm1p/yw4W7n02qb6a1sodhxWTsgm7cHeL9rddMdLqrDi2Z4eYLIl1
TmVoXY3GYzlYCUddvm5ZxC0NrAjdPzWkJ1P0VOJ8FTrudOtUk/DKKDpN0fJKY8OjeeGsEOZs1LFf
9WnOcXkixbcQTsSsaLjJbPtqMplXq2LKL86n2Co2kWMFXudEG9EReerQPVEBWafynMX9phoUWDWl
PZZVywzH0B3MqAivsnQCfMeMNRvaluGyqzZpzlPd37upu2tIh2b6dXxuhflQlsbnXLUZzKfklmTg
o3W9LBse1A9WJD3SCzP9kC5XYzC4XjFSnEqj7EIdQSuodODb5Wlbd9ZjpYjK02u2RUb6Pi/1fZXY
D1UdX2aN+dwQXeOruX0SnXsQfakSShPhYahHer5dqPhqoD2rU3JDAvwFH16NwncZvS617/MBxmLJ
jI5RAida1064EotiEvbikjKV1quy48s089WzF15npO/bkNkRjAg3uKT3va4dVM0+Bn13QROOwhQV
MS+DIWPcAaDWiPPM623yBMxcW9ZB2r0p6Nk2pVuTxty7sVdVjIUHLiGhWT/v9IIOdxg8KXN+EaXL
vTLDyGnT/AK0ndzOcIZ+M467qjULAnaAOe2wfhlL5lGUhlCBMi/uY0ccUS2/xIvdEZCi5ndT0eyU
Qr+nS5H7QcWnkdkBEHCqrpzAYdkY93ZeMaQpeqZCeDpU3YurEwjf5hn3Wpv3o+Vlaghw04Ceg5ll
YbE2hdtSApZRLfpHbMu/O6KPETqZbvbfd0SXb83L2+sPdkT81Nc7IiSDfNetD50g//Rnk1r7TTdh
zLg9bbm54Rzxx47I/o3ZA525BDT3rvsxeffHjojxBCZabAAwdkzAaf/IQchMAzuev85/HzSZTaAV
Oc/SQ2h+X4Y0FJ3uUJ2mJ001u+bgdnGlIkXOTQXkOLUZ2RLwTayzSY3ZNF31er5fmnxHjpoaJNtC
cumyKdc5D/S5Kq+KhzvNMJujOmVl9DmQqKroeNjMlPL8/INjTQG5mfTdVbqV+TG0a5nOp0lBau7a
+lPA1t5n0vVYQcgWYmKCFWZ2gp2tJETbO9MD8wSvorJvKqPkFyAy3YWTxZSZU+7M1r3GqPA+lI2+
zpOcrpoEdquxS+8DGF48quBK6tz56aSdyPe5HnMMqEI+c0IJAU+NsxsEg8p5Ou4CoT+aEhgey7lf
DxIiLolVXLOPTXYVQu+126DTtsoAJriOPvdp3a0Kq0q3Iakl3iK5EEMSIv0HLDJKboQxLpoC9QdO
QqTFjEMCxiSK1GqdSu6klQQKqqvwxpZUipB8SilJFVRr1imW9EqowbHMAC21JFsiybgUknYRtd1t
G0nARB8wzCC5GB1AJpCkTCGZGTxCA/onOBpm10BqEknXsCIaR6dqqIXn7syzHhKvjg+mrQht76b0
2jf6yH5htlPtWasNc9WTqW3XSXIZkQeAmoUpEybhIsQ7HsH0G9XKr0lAaEZ/mktEFU36xkjLp7pN
L0qVWYfcHv8Pe+exZbexNtl36TnuSnhg0JOD4215N8GqIqvgvcfT986ieC/Jn9Jt/WMNtJYksuo4
HGRmfDsiNikos0fS5ql2lVOjaFxIWbQ0y/RmDPN9qdXPmpIc44GY9ErL7vSAirE2dL4YEMO0LZyJ
nwDODls7wQAyRdpK13udMCUzjOcTfv58IUgiTkrS6nQ2DMz5w12XkcAx+sxhRktzVtkcfJlHDqK+
oJS3dNnyFpL4Mt08ZABufmEWXy84niQepvpmqYfjqlPbpZ1N94FsOiAwz2Ry2MfexAZ5QSTYubWG
bOkIExo8IM1DEGQ3RvxN0poWIcMnG0nZS4S0AJkuxX+z0W/I+KAxchRn2yTAM2EPzXQrafZCtAcr
GnuPubRGb3mjLESmvVijisdnKm4HGQboTvSk+HljLyr88C7APDtmIm8b237P/OArO8rU49vltTHV
lzFST2fiJ50oRVAFhs6umbJVQZqFHOG4a4dLX6hGsMxF3ZJyZraIWwojckD+mI31Pm/a4u6f9ePb
+oHI9RfrRwHm9Jvlgx/6vnzgbpMBsS7LBIcO0OOflg+s2RoiLmdqiTL9e/kguAItz3D58iDr6RJT
/mP1+Iy0IE8TezacDZ1Nf8uBLZP/fl48DLlw0DxFDjQWO4fF7UfVqCoq4PcwDq84OprOtvqMhzDt
i0ruAJd78JkdQcDkQJBEV2Lvx64lEyamdmzrtfOZPDF8plCQjb0la0H3X8ski8VqoPpIOfCiScdU
wU0Ip50VJbgykjyiO7AywrL31E4bUflmc04jL21cX6Yd5LaO1W2ysNJwV3NBHOqps9kf1lEVbm1c
JsRnx6ay0GnbMLdVULsx6XsNa0A1pPUlwAjD8EWfBnsVOJhhFoljYXVqO+XdxLK6+efS/3bpc9X9
1aWft+/1+/Sbq5+f+371k9IM4IeWizZN3IDBJf7D5okQSLTEP6QmLs3vmyfrX66KzQIxm7nDf659
3ZTRsC6avYTwPwNl/4aWRBHorxc/Lg7ZuuawEaMm7Nei6KwkAn5SHeuc6XO/JkHZWBbCfra54Rd2
96iRZJrM1z65plg/Vho5p10b3Psy+BQSSvdKxvAVmahAvuSj6kNyn8nAVFVGp05kqHLGIwdvoDmL
dFUREKRP4wrQYE1oooxg1YT6oshQVlXGs+oyqJX2Dx93Y4yJidQ/P6j3+cDIMtbDxwyOI5/c5xnW
Iy2d2hui6pW0q2s31F9rS30a+0nz4H1OuE4KbwoTuNkqPiCnBAuTRvTHSTgvEafRQ04440odSE8U
ZXyfdOmLmOx5Z2QAO6SUwNzN27nSXvomO7s5EY2WfevWm4SEl8otWE/j4b4Lo2cnUraDKB6bWgn2
tlYu3cbwsrwnMp9iXkq/xyk6S7q8mmjs5Mv9tYAfplQJw5s1nF0JUheRtjOKNRTkgqZHT9Nug+pU
w0O1yXOlhdWCp7hpmlluAznQG1AsrUmOSBJrkBqGvyjMpmG/5+aeP+hQCcrRyophW7R27/lRtxqK
GJ7KOmLvmtcGXlWvT9NtVaRfaziCZatx1g5rsamtOaTBsruaHHcrYmgg4ff5JswhoiKgwTTn8VJA
HjOQ0lL9JuYpWjaCEZwzLwsIiNHyXemYPMJqXNLSPWelsbRiFEf8ecchCGfiSpe2OeMgNuCrUmHi
VpKIdgAz5VlDTzZeYnB3synPI0QxI7ELkWOKXGC8DLdZa7/C4e0wjrbrrgFnImRBUqTXg201nq0y
O610wiXjyjOq+CZXqZIK+eSUUr83MW5VGWH+TF2cY6Wou9QpTmU8vpCB8RA2zVtZEXevDpO/nC0L
Jyxp5N5U4+NK4nbXT22x7KvksYtYGGZOI14UZtd+Y+geStKWDKJiXdPDRSiMNSxIBNO1iLpMG8yN
wIOiLC9GHWLUEBvKTwG9IMbKHkZzSvXbeM5fUjU6tOpwKsgHQzfK97gqj4LcVy3rZg7EJRFjzltM
u4EbBjiDNdRGp7kbmugWre4eQmEn8mLf1cY7tYK7hMhJQPiXvEnvrQTBLJ2Ho6HXB/o7T12ftAsw
p+s06zejHx2NzsI9x1HfLXaqnAVNBgtLuA8MKLd60g9lOhyGRlyJ0EjX3VxTxdM+DTYZq40x0zZE
x10nK2dne1+72o0ZlYck6rdGMhH4lmbdLu61iyHqU1Da8Gs9bCshntCyt03RPNIUc6BP8dSFBhlr
000uUswbfOmTFKloiB6DxN6YQbHNrMjZ4RPdWP0g4xnbk567kUctCbv1YAdlfZ0pPf4QUXlhV+/I
FX0S45BS8pemS1frbobQPHYEOy1mG0qLYcsTi+zW7qiwoQKVMHg6y2BS9dR6mR13Myjs2V3ai6L+
OSeqojHFx9wEHU5tKrnwEUSCqe7CnpU8u9EockbfHVJt7RQm975R1/eYkecVbasHN+iOmDR2hFy3
RKO6hxAxzejTgx9MwwKe6TT4GJcjN3/rUazRWNKzItxNVbjnOscf7AzjOquEuopM9SFSkWJV41FP
FIJJ4ttZfoT4vt5KAkOLJsBKORzUQHkcRX/RVfUsEjyOFuJ5PQ2vmkKqS1QG8IwVxVQtn0Wtmuu8
C6JN5WQvpa6fJpdWOFLstkkRb5KcIuHGUh+AFPdV0y/CkDNwo1z3uJg8zbizg24VRfNbnNq3M1vu
Y25W5U4E/k2Z5SdFRsz4VboyZvNFLa0NFSPI5vhh4tYyiAkdtW2CQqdpwXtCcRK7oEIcJns64ljT
1iqC8VpE+sYmeI90krDEywU5aQVii2D01AzRbUUD3tQFd37dbHOFxjfSDh/yIdrwmu+I3H1sq5D2
dOMqSaDHRO9psUW+UzZuTKOgzTa4i8TcLB2r3yopjPXs7OrGon5S3daBy1ujXpSqzhchI4m+027J
IHdWgmPm0qnl0VIlR1a3Tk3Ker/ioKOlq26oUB6zqOXmb9kHLUf0zZy0X4eVRToWvHTk9Hw7qe4D
jF9YNS+JY9iWHqWNHeTuFa4iBjTI9qtZiaqF1lfRAkFwZEKTvfXMbQwrj9esMGDTKJg0CMiDUsBx
vt36IbbbMSWbpejdfh+nI3KoMn3kNSXKfIsXyZTTgRzX6oITmrMy0/SxLwKN4GOLpusQO4saNray
yGIr8+osQJZuy0teqe1TrNoYtMy5VlAzBvO6GUgQTp2ZE+SQGgQ5IL9IbXlOl7OqHCHu91QjX2lO
sjbGeGVr8wPx1zdBVdPXouEWYAqhpSS45mr15A9mLJG7Va02JFUn46YzMO7obfvWxwSEJc6z4eun
fgD/xpaTdf269ZHP9eYO9nNaOnb4yp31gQj3LX6FizDHdz/WD5igOViG0IERZViNQuD9bB7sKDv5
Uap7lp2RzgB2WMJMdizR7LpBVmv/EtP/lybFTdvIbups3pWBdTTHaKvWzNGScpe5w8IsREI9BDlD
Vqxfu0N22xLT1BfTtMzy/C5Ph9zLlORAF9tOCOVEn4DHVmijjdWu9V2mPXT82NWBhIVHy9APKdps
rbPS6s46ccov9MWt6DG/Hn12ChMI6+wTa4lbz6za9yx0j0pO9QwX3Th2h85Nv1i6CBYNVTfotTe1
Rp2EFnmuEdNPm2EXH8VtkyjwhLmieBOc7WQHqxm7od9jRJSRQh2Kaxur26zTnqASvDRWx7VJiLWO
5sPWgoDInFHWlCZPqU47NmHPiwHNyk040nRBulPK+IH8tY3uzFeiJ0syadW7aUBQisvHgh4nCG2G
dUofffXrovco1O0QSPTzYIqzH+gkT7fWCk1+Zfj2JnajnRsJdx0E/oHi1PdyMs9tqfKKB7B7S+Ni
CYrBJD6D4seQWO2VP1nOpVCLfW5Qs5dyCgpbcZ0ayjFtSRxieLJuGrwLvhnihKQZaRtO1rM5YBBw
udOAe47HcXSgtIficaRqhLnAs6bRoFNG1ZOAvCW8rlsnTZ/CZvKqHV/duvLWg7K/6AvKxoM6jT3k
tFOJNJMEynxRtPpAH1W11OC8GYhlH2hZpOZNFd4x/mui+UDtq9sgGksaw6nJtYG8p7Y7zrVctU3j
aVT5osUIM8t6BLmuJuOsJtEZP59nxEa4s8O5OZLULeOI9EeNxIH9wGTVbdJnrBnGVn7dLfK/sGuw
moOD6M9OiNOxNK6p14yOrp7TyVDuglLcaYQJzIUpYMM7+v2KpciSYxVQxm4bZByb2QeiJf3sukbH
m3OXtMU+IqIhoSWzT8k4JjrmaVKrG3ck9Tov7XOsBuSFx4yHjIng+fihSt1nY9RvQCWLg6nHOZEE
FiFLrfE8Z+7ObVSFjqaIasKeX6xU6rpQI7ymudFv4xS/X4MtiGgSIxP67ajGGseIuqbE1EknQ6Oh
UreUlaZG/hx7P5z4rr6JzH+Rm0SiOvN8S6OZR0WlANf5WT3QIiFGTcujS1xCaeSnZh4XrnH71w/y
s75NRPHng1gqg3BwW46SPz9I4o+1rjRNdBHTTskJtg2JN7trh28K1p+CtpxEf1BC/ngYG5HGECbB
x458Gj/wgb4QLqcAwcZd+xiKe0X/L7Twb34/Og/pUobEgMAnfv79DVU4RWFl6SUfuNC2jv/612/T
734/7AzvEG+UNMH9/PsDW/aWmlV2YdidmVfmHwFWf/r+/ALTfvsYfnh/fnn+hpWotNry/pAEoWRe
guvWXho4dt/TePnXL+U3D2Vz7JYsECXnpvvLR5E6AAdUECUXEW9Bt1uxKKEFDI9lmDSXv34s+bT/
Mz35/Nh/+lhQG3782IUaZb1tpemlpNKkYUfn8dXinjr1679+oN+9qB8//19eVG7HLsTztweiLDan
SC5cs47Ipbj8L9eafNK/vigkPUIwWB0JzpL82w/Xsm7mWsHCm18afe2nr/24Mv0vf/1yfne5/fAQ
v15uc2OyV0Kiv+TOa+w/G8r/4nKWiZCIoLCNDN9+fglxlZqtoWj5JeYOqJNwNP0vbl64RIUlx3Ca
bslB4Y9vUq7k7O8ttbjM9utgnzucC6L9L/eu333oXMTIuIbMN5MG1x8fg0QmOnOcObtghsGWh71c
Na978BsapPX/ciX/5rEcwcvQVNmVhv7082OFPuWPoCg5dezsSVaR9AWu7Iqq2Y128/nh/8PPadwe
/lzyPL/3r1+5jt+h39tp9/X//p8/vND81A+CJ+Ip15WhcVGhqP8keFLASeA0CJ1DIxZ3gO+CJy08
mmUhxKPCy8BVrsXv02IXt7P5Odwlo1r9e65mqq+4CP5zZ/jE51jcTJebKrorz+Lni8TvolI3/Wi6
RPmVPoEsaD5n77F178dZGxZi0qA1wDYosLxxJuNtKlPFs2m+JvOS0GKikcgfAPtoEveiC+5do2K9
EeN8Sjv3AQbtXh/yD3w/60oSJBE8f1pm5cJpLM2jp3YjtOyIzQiDkyRQkpm9rqjwubEYIAkmDxYT
3LXOOkmmU4UYCFJWaOZTktoPwTS/kSeNzAf2MoC/gLVd1eAwEbtOSD3nNgOUKYoxOPugM8XQlwvC
6A+qw6FpJNwzA7PRaeuJwW7Izt91YDjsb3xckPk6D5XHDlAHm+YCSv3MIrSejZAbtW37K4Zz0D1g
PnRRrysHS7UOAESPwFfavy9NolrQbNV0OysZw0SfKNCy8eYKYMiM9cgjZI9ZCjTVylXM52xOyOEa
fJuxokj3dhG5S9gZ+KTRl0HW8dKR6BLUwdIFZiJFbF7o4E0W1kdOKOYDyV6kpAZUXLNN74KWJLZP
PGq00Env1WFgo4fVuqKuo2oF4eMxjg602CCWceBBaixpJOUw3EdHTvurpJk2Ih2389Bbqw5f6ILO
l80ojN77bFDyMQ8aNtMaXMXvJb1KqQDCwifyMhvMK3G9cNzwu/s2z18ibJW+icE6LZi6Nrup6w5j
TXCeFedb0niVVZiU1Mba/ckVhDslSGsMzh8nw9pnJVpnZk6vlWpW90aGHTIzblQSQYZygP0ZN2Mc
+9vI9Cmvj/wtJovCCyr9AFujLlwFN+GkTEyTMudB6bHZWpWyHlxtI6LeWciybscfdrNrJgtRlFS4
BDmJMyBXxMJsoigkiduGV9D8td5hTaPFlDDs7mFGF0hN7aPQec/8mHOPgxDvJ/e4HJ+DDBQrpKR5
bB3K3Oenps4zfn24Rc6zPZIHV/nY7rPO5mqO56e+pZ1RrV7bKVoROXmg3HypRuWzFQ3t0tcR6hLB
0Tut07vOqO9h7/pF2RkNTy05YLRflRJTa+3nCh5gQWfDqYaimENjI3TC0/BRb8SE/7vrXkwnuCHr
eG2r+QVv2WUshct3bNaOBG+RkWPlR6pfzpoerJP8a8Lwv+N8sWoGf1NEg4woNKhrN6eriFRYR/j8
n4FEl9ZunuaO6l7IitfMJ8vLFEnriYYQvRQQFWL1jmaEYjEWKZ1UtX1HpNEBn+Tz7ISn1B2vdY3O
HZGQ0Va5X/1MbKnC4DKyqx2qDhegL62144riSbq6jJIvlHrHZfxkt0wHVb84t5F13bj6V3eeqKZV
6IPwEaCyRjUkCmuTZJZDUFkhYnyLumMmY3o1Je5NQlCNPBhXO78PxYpOJcKFLPdt9NvXJK2ufLXu
PN82/WUzCN/Lpspd1bF5KJ3GuJp1Z0NicQhrIeGwMle/+BIXo3vkfi6Koz4HbyqaBY0T0zaTiFmb
aOcQkmXRlGGDGxlBiYia96K051VHiAtxOaV0rFfuoiS8cUHBNNN9ibX5Rn2c4dxaeLcI7i0M25ta
gnBioAMFMm6EkIM+Q/SBmSvbUKBFgdHhaVjGYdahBxvf9uT/LPlyhf7zJf9Sv+bB+2+WfH7q+5JP
Y45B+QPLvu0Y6icF9n3GqTr/YhEwNVZ3hz0g8Pu/l3z9X0wxLcb7xJ98C6n995Kv/4vgMot/+LUy
tv1vNWAyx/xlzadeUicE1+UEqwHMO79sQiuL7OaBAkswHZWEwTlN6Dcja/GgjJU45HZDlqAipu7F
iMN95E/PTqDOXmnHX/TeVNF+zMEmtolRyarSBYR5WRHtH0cxuU1WWDwQBmZN9BaIJpDTLMhVspQ1
btp6/WqkfvROz7NPz1luyv4o2tdyhMGc++M67KK4WtGRo7keZCl5lXVMjsFkK+7CTcgC9TuXXUJU
WkRv0GEL2lV/KE4w8p2GJjcjHx1e4ybiqKjHsqxB0WN3TYYEyt9EXUJY49FGuC7n4sDk4jTPw7Wq
z8ewh37XlaNRpDs1CHcj4ohnWjW5HqpiekXTd0uNzpljaVgbUSpXMd/5m9J3Dm0ZspgFbEMChJlj
3hS1pylDsposCj9qGiko/+0uY9tclGQk6oEJ0mJCDOYeMazCABaDW1NLZHakT/VHore3USpuhaVm
JoJRm18pVTKfdCNh1FGug9IKn/AzeHbreH7jZ7iZiaLSCxroGrLHwdqDlVY4iJUduwU9u1Usc1iX
DquDXRFQUNfkEVe83JLMGhCoceHPtrXU1Dy89AFpbFEZd/QQIXWOSnFjwZ665H01YqqxMHT5otRU
RpHKiYTUdW+pcE1dadw3dJBzCyMdhPvaGkI1YiadeSOTMZg5u3w2/Y4+RlVBsVzkRMN5zcRU/Iev
4tX/h/wkm10x1TmEmmsoNr9IHrEIB5G41O9pIizXNLBqr+HE+zQQQ/WHO/qf+588uf/5/e8q7bLX
5n/e/+RPfb//wXgIwpjgJz4NPr9U8wAxMQvG/cgdUrp1/jjykOJk8EfU88Bl/HHX/M+RB56WLHBT
I2PjkwD5G5gHQMkv9z/kPE7FnK4kg0WC4y+XiREGOVjSpF7MFIZ0C+ynsf+vklPsp54hq7TD+ZHv
FsB7m26GwH1UIrKhs9BnqBFsXD/lJMPRggQCbp9FfW31BeH5gkI7hh3ZuNPHZjl3dN0pz0UQ4IoA
8w8uauwGp4Igac8yMdjYKuJo0jAapzH0K7t7NO2OrShRN88QVWQJ6kq7Nob2eS6y7cC2bKmb/RX7
Qn1V0QbAn4vD3I/M+5lNGnwdIN3Th1zpJmKZxHtUNh/DrH11FGZCRZeEHl6d28wZYfxHAt0m5bGe
Cegf54oTkOUQ4OKec2uaDoqR0FUMaD7mMKqjzx0Mexj/0nzwLTb4i5RY9OqS3AptSSIssKVPOWcW
1nRtFvoXkTyxSwwbC8AV8tgksdKStnTfbuslZ73J8MyEWA8WB11HtwbMYrKot+6rGpFlvYpGaGTa
F0K6LGiJwWZacWShKA1IolyxdHAu/eyV0Uj+ZnebQBb0NSUQsoFmkl00IBRUc8xpfd0XNNVQS1Et
AO95qyB1F41stAllt00mW26yynoqZnpv2M0OK0N24RQFCeWt9KCMsinHl505lmzPgU4yyJehUSem
WieUHTv0HnMMSIzo5MsGnsHtmn1IhsVmlP08zBNwrleytUcJdX+jJt2HJht9qrDqvEq2/KjU/fQt
Hx+BaNWql11AasW9MpL9QIaw3l3ZGNSRpruCE+AMQp1QKjoSms04vXL0IFmpn61DCmcIl8DNjSE7
iZK+MTdOWL1nsq/IlIthJTuMbNlmxDsHPycbjhxapxfaROuRLzAJN7IJKZedSPpnPRL54eykZWdS
OZFiUJC9uGhkLVPrKPVhkC1LwdBRBh9CJZHCo2/K1kpXfHgGKdjmR4SgR4hUSCKNoW9YRVDrhWx0
it0SoxFx/m8iw8mDN40so4wOKE5QFiy10VPpKiuiYtkWFecdvVGyQaqONRKdZ5pMVyFhNWI1yrYp
tzfr+COlDmZLe5x2XeCIWmLAbg6tPwsYD07ytRjvUkUNwGxSc5HrbgKSVD2Qzhl4YvbJLHOHYtWE
9L/0zbMSVI9pkeMfclzW6YwDSJ+BFMeC3i17ih/UvLiKqyZ6mVzm1loYhEzbHRKzSmZSM3W/OciC
acExkvxW7dzOeg/T/oWtz3oIHPJEXeVjiFsSIPPomdzBPSjTk6z12uiNYnlpVsubiHvirdh1iftR
8D1V5BraZs4d7cxXlRruS3KNF3ldnPEaf9Es97FPFepR6/GqnWtn59T1tpib22Z276vQ8leixfBT
dTXg+xRRcRVNG11DHaDWBGGBiJWBlbl2wptA1ObCDgj57FK9OphifuWwLdvHtG1UhPvE9i+OPpyU
Ua+WE1Am3xTAaghuBqdRSkwQGMpb7CABWEkbbwO9Z1RsdDqjQNfYW0QyLAyrIHHfzN7cxuSeJbqc
IVx1VQzKLcLFsImTJNoHcAYcHQNQ+mlweEqczyeF6CXcV9bCL4bgOmMEwnEe9uKzSGsWPr5E+aBt
aYarmOqEjWjK6CYl9H7paLAa3GG6TRNbOAbN0d2Uhjqt5jh0ZHRUyh3GnjayTHrlN5HODDszKJCM
LXgE84Nt5LxMjHkHlHHhaH6gXfGIMz1b6YPQNjrF7ytdlP46IdNuHdqm2KS+T8gUPPpWs0ZzGaN3
RCGNxz7IzEbTZWxszLMNM7612kDkX5oTGMgGW8ZQcpcSJMVuhpxXata9KcthArKvVWujxMgtcYbr
swpIlc0zytC4TXXfhOR/tjo6kvifb3W+9afmUVv8ZrvDT/6w3UE9ZdNC9gZnPqnpfz/u0URoGVid
sfoztJTOnu/bHR2kVRaSiH9vaf592rP+BesqGW+Lgc1nF+vf2u38D4XX1Ux6Ax1TnvXYRP2i8Dbd
ZJp94ig4EbLYS3Hh0my3yFOL6bNE9BKqqhUJ7SEUXAs2TV4vgb4Bsm+QiB9iIfYgoD/OBbEnJAio
SSSwknBgBCU4QAuSSv9Siuo0dfqO44RzLCVYaEAY+qV+H0AcZhI9DFqsIBJGNKESOTt4jNoaz9fF
tSvBxcEBW6nj+lGM9sdoWOM6HsrbTDaN00a4mpMZjFtBLcnc6snoym4ZqSVZ98qwjoMSbKtQyMVP
Oo4Z9WZIFKbwvg6Q19GMMBMRuTT9As4NnEZZ+qPxUqa9Ml2zkjv9mmS1gbjBQlohsEaJEjlXeiZc
zBOc1Nx1qeKn6KWzQpMei2rSV710XSTSfiF9GG6e0pWOM6MT8dcWqwYLqgvk6pgLvT3TC6s1hY3J
A28HmwQwD+wetvR9qBhAYukEGV1oEdAToqWL/mD5TbOvRP4G9RrXdJWFhVhhK6al0MoM7bpKgoQt
lE3/0UTwf4hwa7P3I1dXLBFrn3KjeGBBLTjsjsVR5NHkKba7ym2U+qDc5WlxbtRmkwFhpq69H03/
iX07amKiT6Q8xesuN8ROxcgK4tVM8EYjgKkF2yDSWfd4Po9O0Eb7Huf1quTtIxbNVyR0m12YPd3h
60ZjL238LLBexif11UoADPcRWE79yYWpg3OatelaNHSoCathLyoxsroUtwFcmS8Bs5noyAriTIGJ
qyDQzNjeAV1vkp6mLImo9bBqrZNdRhcye9SIQIRmMzI++QGUNzY7SOb40QR7swvaBcDgMsnDuYBx
I4BcCShXA8zVgHNRi1FeknSxZOosSdfNYHZjTw8ETlNtPYLgWZLF4yOnubGL32OWzr7muSlTYGJZ
guGjxoLtJys5cJ9Ws4GUtF/bpSfMpTeZ5AAnSQTqinEbdcNbrjSrrLmrO1X10ECvA1DCkmUqL+c9
IPeDcOOBfDewZ+DDiLpg7Pr6KWqSl0zyiYrNaiiJRR10kXZ5Eq0lzViBNbq+WqxENgDwzkxW+guR
3Y8aIGTRKMsCMFJzzDe9FIDfEpkMwssAQlnVwzEEqUwlWym0aV1J2jICrPTBL+Msp4OMzQ05QG+9
JDT1wT+6ktnUgTfTlL8GzDlIqnOosx0l48dext1J7nMcdZ0JByxo8omFAq5M+O0lLBpCSZBVbQXP
MShpbiJDUAf0gf95Czn73ACdDm6/gsbexLrz0gKlZp2heAWYKuMQujV0wMTyaZIcq5YBuQ+GdXRA
XB21IhZOUq91rT9FYLADIXap5GILx7jWAWVtgFlNkrPT3J9MydKOQLV+ziaKrCPKS+1N5CSPsZYc
A9Hc2yRO4jkRNy2Arlamp5CdAGWfj0lm3NaS5KXw84uRyaFYfYpAfUfJ/AYTuQ8xGHCqVYcKLJiL
ZF9ITjgEGG58se4lQdx1/VOmVcT0QiP1QMYFsDGNZweFncWiGpSdAY4swJJb6n8yMOWBHEqXvtgR
N0ubztdtDxllZxV98PVhLLlknYyIANBn+nFeEuJ0jcrctaDRjVHuOcfsKNd+6EGnTRBqfJ0pW1d/
3ZuwU0DWCbC1KqnrGfza1+ojLrl9LrnsBkA7LJJDBLA9Am4TkqFznGBcV1TCi4G7jT5a58DeOA4O
EfD355L8z95ETmr/em+yL14r4gR/sznhR3/YnLgqPJaF+fEXLZrNiUmWNdk9+HG+lWJ8Hz9T+MlO
RrN18ok086eaZLRtKve+/TIklL8Vqv2NQfhp/OwIyScRLWPochD+ixRDUl9GZPJUXyYFLZGIgU6t
gNBzJ95ZNIRfIsM6MYgLz5ZZb0hIMa8rBjd0rYsb3Tdukrp7L5CfF+MYAtT3h9BW1z2ZHAmWWqUH
wc3Vo5Ory1ljtN0bI/Nr/SgIxV/oXXbGy732A/vYhMq6mJRrKw7v7Sl/NMfWc/zq3UEKqFX61ad8
l3TFMsSvxr5c35lO+AA17imGuKYX6Nxh/ICsP4/EoLDajXzd5o2JJEH10L0Jo6zwilZpPby5UXvy
OXm2tf6iB+mmb9t97ltrfG2H3qjOfhie3YIDLRUdQVieO1BHvcAAM2qP9LpuQ8B1d5oWSlJcYjU+
E4S6omt6WTXzMhT9sxs1V2HYnYJh8npkBgOCFHT/XGscoNyPBi8CHuqhwwzQ7WfXeaXZd0HT4WMc
9zulcZd0Lt+EwczZIl5mJeXHZU2VNHUY/hhd6JMg1QZPSGzdm022nafmJnPat1wbz4qTn0O/OvZW
tiVweJ/V07ariJgNyg87Ls80ZYPoujs9MG7s0IYBIMS3tXOOiulwSjrAanXirugnr3ph3Lil5YUM
HxZpZ186pT0GWracg35XE+sKhX0Tu+NOFf6DIZ27rr6yKLJYVNDMvuTmQ19UnrwBRk5KZvhQYe2Y
On9ZRNar3bMfLauREmcTTHcsWRERI7JhfKPbwpWVx4GoVt+6t/3GqeNtjH141xZ1HV+MecaiGwOa
6xtyEaO1S3HDsh+ByMHhNkXVpbJP/iYp2nKfk6zsNRW6uJqq+glktl/2E5bqdGT87ObQ5cTSxjea
qm0SjehstgXbOGf2TxI+ccMRg5ecphNPzTtSiUub6YgjYq+zB2OLG8nEgjDdRsZULZkYouXrVrKe
O6JRi7JC0Qqae6duMSBb7AzjlLJPZwI1oqPbpEDJVbQ7RfO/FI6+BO64zJq5NurkjKl7WMruaKY1
79FsnDifPipsIuJT3bWEwU8G2lXJ8Fe3glWUFddakT2QO08pXd+04MNYIFi8sBWUxluAv2sh6pwE
0abqlo3hnhHqYNzH+KurAAn3BsEYfU+AcKI570HpvuSTdk8o2DvPH6WpEA1mbD1d6iWLOsfkcmnm
cYhfB/tAT7JRmdY4PaJLH2Z7JxsejHH66Gyxj11nbxRhtB4VvBhB+BDN0NhZWp0nf6jWWY8mpnWK
dSpSHwYzJCMPa/xKC3vy+Q2acggfe6JnjHe5yr4qhUziGQfpBQjydZyMO19JNzH9jJ4798i0mNPg
qC+RsN84pL+NBmRXPWZct7a11S3WaDtMt4FTK0jLWGJKRIBK1zZ+oT21OB5kiDzpRuYuCrqGdOTo
aQqgRVzF+BL5Vba00Igp0HhTunrZaMzYRl9gOPQfdarXvIko51nrhGfA3OudopGGVVO2W5d3IXvy
pYjJO8WSBmjo+086EiKHM9/m+tLXlSTfXXfgKxolE4kIfC1rHLw8Pf0jE6AWvR9IrKRG+Y4ovM2q
HeYWi+fW7xmHX8YM9WeaO0QkfTeEgkF3/5ALsW8HB7PW/2PvvLYjN9Iu+yr/C0ALJuBu0xsmk7ZI
1g0WyxAeAY8Anv7fURqpq9Tdmuk1t30liaqsJJMA4jPn7GOwtkuhCq0GAsryxHyc4v7sVsmTNftE
DWSYrUCprwIxORtPGTfpEFhEBOTPbSKYltBFbAq/LobHJMmrXTt1cbI2JCFFI4KWtQHv8ih6xi3F
SPCIGRh7vHjMgqs6XVVdSSrdYCNRmu9r7Qr2LVXcp3JM1/+tRSgDEIkx0vj3tcgTqeNU6f9ch+iX
/VmH2Kx3PCgDqJ1tsp5+lsE5v3mkvf4YdSBn+2NCgrEdbm7o+xZqTIcJIsOTfyyE+LrJUAP/PAo6
yHP/wYjEN/m+fhXBwcgOAw2r4x86ePZXERzNh/KapivvKqsW4tL9iDmYh9Qk84DlBAEISo1IhrgE
vzYj8QCSvEXwJY8EKZM06n+ZaRi29RATBVHumjqtGI8TvzcI/9bsrYYLlENB1pxLkQxHiPFzsrNr
b4CFHt+S40PENQTKdRbJazf33wwv18SK6ZuoDblNZLceMCbQq6RnJRZqF8Jijbq5a03pbmTiLNxt
JDwy6i4YTbc8qZDbtEOrbXO7pcyRc9nBF0NZuwTyHA/e+OD7PYFMebPKc73WaqY3YkqfC8KA1llu
PTpu/xozUtoDaAv26PC9awztE6oWeDi2VO3WmuN3n13CHkUSN27Y3jPNvEpBKlWy2I/0ys2Kdf69
ss1TabrfRU9gYAsbnoBEYc/5usVmowL7DHCOPx0eSrN9BaZ3lEpbL/P4VXbea5h9cSYsFsL52oXh
19buru2SvrhSfc1FUG5sx1w2gevdGXyztIvToUxgmmW9wdjAQHY45+kjQ9zboTZuF6eJtHECOazN
ksXF13fMLOABroV5azLFnY6MODd6R+QaZKLHpGVmiRfvWT55uyamzWsGk5Av9Uzq2cmemhbjb38K
5JhBSSuv9SzC9Zw3OOXqyt7P/bQP8F5v2nRIsFMWwT73kxazHdIJb4yQYQ+2SWnA//Vnm+51+hQF
Pt7K4c4zh6tJduTaMMJm3wL1wlkBei/Pj7bL4IcYTmJQpgWdg9keS8Nt2e+R682NFq0nxkfoSm+J
ILH5k+2XzGgfOH/uptg8xpmPt9jO9mDSCLIi68lSFdJL77lnwG+W8adO9t8BJxvrfIHh4g6kOY1N
mOyCYXmtMoYMsQ3rza9fjIHlVtFNz0ZIycFLi+1SGM3WGfPH2bCZGdmoPi1LfpQdHoFU1hcxh9dc
cI73s7JXgZxINh2nrQqUvBKiGnOvtAHDjpRZk9Z19sPAQKpV731EWixz/GjjtMzKnDx7GQBwFemz
01sFV2Dqb7nXNkKM6J16sDlgTaoV28f6oCw7QliPgbKeLgIz5KbMmOzDn7ifxyzZzlWzbHy7vE0r
u0IkqjzUGE67JilPJ1a85whj9LX2KLCvzh+52ZQAVNoH0HVbZ1Z4qgmiCJi30eN80FNlbBvFR7uY
b2EXglMrbmvgf7Zn+SssosnWm6nV5rJ5SIbuvRAsEAkuCeRyEhjV1q2lTJj3VInozNjGzB92136O
jeE8yf6+qI0Lhn6Stqp+s+Tq4oSjWlsmKzvGkXCbhlxb1RLwg33/URvEUxdqsoHK+e8prFnUyOaq
k0YO21jROU2Bd+pZdrDWMwI8beKVpy7gobnFa1h4X3tW9is6wnTDA/mMO0yRSzQMu2QZTz3jVbLa
4gcvUe9Zit8NBAJTiaYriDwmkr4TzcEDfE1dDqMpUY+9y9pTYWkqFF57CmMmPZXbctNJbonAAyiX
ZlupolupSYxiiBRy4/iRDTNpPOFjGJEzpggK9qoQU91cPER1fRvHVrOL+6B4pTRIGUGON4bp22Qf
6hvbzV7IBydiaZzyHY9VOis7+aIqQCCDIBR1qk480B9mIcdDQ0NKbTXcs4C0VwD/aIiCYJ+YKQiS
zhGMRcCfB9UpiTyxzpuC5nG8T12AcHbGHhjT5cqHirwlLZDXjuOjC8HxsFTDlw7//CqsW3QFlZ0g
gG2MNQiUD4yPnBdJm+6DkOzvWX7xHO7tpgBDJUoNyFTIl3DzVLcmu7NVK5tXKyijdR/Qx5YzomKs
zbCW6LXRZ9p7t65M4pzNfkcAxxcody/wA8V6ishj62NShvmVrzjuIEY4DgJOZcY7kGV8pniXjwww
DyHesdVMAc9N44K6EuMzeR33E2cizCHK4NTtIEH6bswUbeZyCzRHLONrzHzTm9pY6B9EdpkNR67o
MMk5NKeJppW2sZ/39ALfXOneMbT/riz+uk5kr+Bd4JS21KHeUN3A6WjYWCwXzn+1ItP6YFrWsS9q
8ldme9jmcFxemyIrjp0Wmdvc+GzNXgy6mD7tv01NQURg9sxhb55Tj6KP8//YpfHVT5snJmUHLGQT
yXkjoTKDxJIvQIO5pN9WtLpyFJS4rc5L9/2vqZLGhijJeN3ImshfGTxYUdlsXUzD+OVVta1rsFAA
BKOj2c7vnsHF0CejvcvzAPofC/QgMk5pHL+3mb+Jc1bgKqvpFCWv9+s70owtls9mvDUs9ysABrGj
lXoTJh1B1nh35uB9kujOolqLsmPnIzMh2Tgjs0TbbpNtoCqgAH6BQMLrtJYZtg5ke4ie6YzCd7He
vG68DQXRiUvNL7Y1eGonM4KSzGeI4RnZu1nZF+r6hDSsKFs3Y31OR3SnNBD7GSP9enCwIA9mfshi
otjhVHLe9TZxjrbO7s3aYuuFAeEkpEfi9Gx3o+WY4BDHcSNJp5E5COrZ8F5KlIQr7KruumyMp6Sd
ntswlKsqDddyKm7IRHNJsgwAJ3aS/b1IHntkwNuo6I8DLRGhHeGzqAaiH1miOF0Py642aEU97idn
7HcqNoqNnVdHg8qJGzIz15MNxwJKHJhcbvs24QjJDo1nTsjx0+8TKnaj9j4803gysOXCAYMSkoc5
aroSOm9hfx3n9hxykuMHdr926DqwCrCNia0TCcoIxhfCJJSXv8RlSbukWnsdDN46M8pdHH3BknpD
YcBuXRhyZQ3ZqdZjoXrIEKmlzFKblv8X5G+x4RKUMmVPFgGkK/gVD34ZIglh3irC6UVRczF5WpB6
EzmzbXqISLM7oGDJG34cwYgpmFoCu6VAWi3vgmCWq9wnZoj77gPHJhp00GLbOHd25ji81iO3btJa
96AkW3xBzsXx0l4P3cE65fWjl/I7cn3LobxUPKfb6qJES+floeoO+q8ZAalrZvcvjSL7rBzMZ4BN
JzUXT7bA8jB1PFJ988s4stUJJuLeIJVMG1kMN3XX7ioTIaQ5MykIa1Ny1WbfQz2zGeF21qr6vpQt
symkDnG7HPGTvqYMo3o/e65HHAEdVZ6f8+hLGq7MJEQxIYuUb3Lw96ZqP7yEks6XCkguNd+YIVcs
steB3LUIYQD943sU5F+yfrgK0ZxYS1mbuFTYvBHqo3U4kCEEr87aKhdJadTIR9WhlhTYzlxj00Du
79l+zTD2oeMm2wSlFuOMm1bJI2YanWk10mtm1rxuYt/O74tq8V5n5k7BbWOwib3HyFaPmznw1oNL
htp/e9AfPahOdfz3Paje1d8Mafc/1y+Esf+rhf3P+uzwN3b1eKhCRKL0lbR7Py3sHYEvDv2YSRqN
yZr/j5k4rKmQ19AmOgHymvCndlT8BoSKl1HZISnUHq//oB3VzeavI3EAVG4QCgTkgNJ1PObPFsGW
I6ujMY6vuNRXnU1Y3f8t2Ed4vza82uQaOLrRJVkDcyA/1K/vUVrSDOtiVrdgZI5VMoQ7mous3fml
uigHERKM5LnbM0OBkmDULL4tGtpHG1YUCbrAri9+64fdsYqj5jK0RtDgMOHEvnieQXKTQHQQg5Ky
WNXjnNjKejLrQ54QP4cN3dwr1Sx7DlR7O1metWfGw7RVTtne8VirVaN3l/mVzsopCQ6UcbtPjRha
YtzKzNhXJVbgx6pdko8y68ed87uRPUC5tg1/N7iHBf+1pZdHNJD8cMEDp2aDycy3ue+R6gCOW3YL
p+3KUMmrU1vnRCUte22qDx7+R2ds9kgTbqbBo13ujdshGT+5ufPUhN1jC54krsZPnltWq8BreNCm
4oYH+TYWzQ0YGBTkcQ41aEg3sfLOk+5OzDJYjbHEekRtbzK3XOR8Yr35VmcZiJzChy4lm2ubetmB
WTNNkfkl8fIZljDEcxHB8QwKCwWZJJcsDLczC/pVH9LLxsIp0Word4+odTk3c30eI2Ovypw82zTe
l4XbbiCqUmvW22ZKL+XkOtvIASvFgmG/LO0xatOHxG2YZVZutSGZjyG7zpSGs151qiWzq3yUbX9O
HKRG1Hve13nMmcnSr65N29upmktVWelWiB5JVVCRRhUdVd1cJgHIzCIbDtQFUNWAbpgcEvfRFZxP
jhLwgyj/KW5D9KORwDY095fGG6mMQ2BFOdwXWZjfhTd8Qw8f7BENlGcnJHZileRuel9XDAEsJVIX
DApLR98yTmGeWfsuML9SaB0Xz7jtLf+5T4x9Qc2+CrAIRXlARWPdYAy7HytcOBk61jbadoAVSm/K
DwCL9sHU2yRo8sG7lX/ozPHF0i6m2o03QNI/L954kSYwmbRVJ7cw7xb+0tFiJ413aREWolPj3e6s
74ahjlIsN05kHEL/k4o+y2A5QU0Jdi7hqa3vPlOicfipLyMT9aEPesQS+Y1rz3dxxOnl2DlCtzx8
w0315iAd2rSTdROKKl5P4goBkYTPZJ0saOvcpdkRa/0UqO5Z5ONWxTCO3ATI4qgZoCmLo3KEqiXz
I3tBzA2j9ak2kqcgKJ+NWiegTzu9r7F9dWpC46QUGa/o5E5NFu4LjwoTSeXGkRaKikH0D2LKTvx8
ZzczPzNxRsHsFMg9JJIS26khtwqVH5RR2m8SCMlrF8iUpnqeI+YOUf6gIp+wUFVYqG4j4jHTPtk0
hqYREbYLBxZUVmMb5mbitrgZaze9HcSCTqhox4iZGAM07jAUkOBkQ72WaKLgy+JBAUlc75PBhHw7
dh4rtRrDZlGP6IfDjouZnmech+I8Bzq53nYfepPMJKeZmk081gHziuwMp+axrHMwVJMkdaHuMMWF
giYFNBmjtmZghuArypyA7dolqlHfqIVpc+7JL4KkHbyGc8Ith9ZHuE9mXOd8jjMQ4Tm+yWCRE0IZ
3cMG+TKokLkfFs8Mpy0ps48aUOw49eduyPGIZIcx6z/8droW7pJRUhIohyvwzc7owD3/M2tLuq/O
XgmLmUQ0ZVSIXYWQEZlKF7mbeU4Bv/vbrLG/lV6v2HuhQKzGtxExsit6yG3p8LnriUFo+TXn086O
/Ber6j65A4tQS5ZEI2SPqphvqnA69A3qI2PKXuJkPqYTt6hSlzEq93FJNKRZeA99v1zdzntTiXsr
M7EOxPgyLS1mXzgoPljFUbBhUyYYB4EYycs/U4eTv5B5zKMIUlUFtWwfpMe4U1RXDolZmes94jbh
EyxQS8WV/4RT9dQ78EDJC3zjJGBrKPEs4WFmKdEfZBa/uJRxK8QXB7d0tjxu0M4yKqn46cvEvwHK
d2jz+GT17ltINRZBsK+D/OrAPEXCsepw1pBInr8bgbEhI/4wQItbEcv7bvb5ic96k9L44YwOGdnM
9x1l7DoTsJdN49C63ucIwcRIiSr68TGC8Yc8b9l1iMlXZZrcmUJ9RCbOGoLPP5siQzGxpJfQLfZN
1DyVVY/CtJIHMpybA7GhmvnlILS34bSln71Ins2WBsy2Zb+rSpPeUYjpDqVhsgoA7tEbt6+VmcQ7
wwyuJqJmVLtNc+4sP9YzmHKHmv9rWlCnk3tmvE61x/WyaMYFutWVI9LiGynTPgOvMvEQl9mXCcL1
78KNf4sP+RdICkEo2o/JPxFIfw3Hs3LXKssqMm6zDODXpzz8Itz9TyXg/4sdKAx/eYu/jPVnrmIv
H3gLs2FKyha5vqrs7u/fQ1M6/lGt/cCF8B6eiTmFkYSrFaU/V2s2+S3lFDJXYMjHw/G69ACSnoiI
/vu30YCOv76Ntq0IDabAsP8XEWcss9nx8zG+DmioGnafHZAwo3kexN3E8MDrWL65/20lfsczOHy6
f99KXN6x3f7zQku/8KeFlklyF+w6Xfn/cHL+2UTY0BtwGbhAmWF9/NxE+L9BEiIFwHM909Qo53/s
tPzfLNPHtsZ1RESASWTS/08TQdCAjb7YtX3Ux3Bjf70su2EamtKbJ1YIdy0ZwTODp58+lH9xc/3l
inRpyjwf3Y7LT6hDnv7SQuBTyJ3BH4Yrszse7J8M8xrCvRMHK+KSRFm6/fv3s/9iW9XJp7++o/6O
foLY2KgyU55SA3ApUPWkwMM5mDtpkyATy+5+amVwGnu3vvVyMlU6b+dlGIeaSEUuoTE9Z2BceZ+V
HdpHz0FlNzfQWK1OklQSJDeuxDsV2Pm6bk1ScvKPUBmvOnpMWuTK+pLYnCxudegO5hHHTtCo8gQl
dSeNgXp6+4506Z3r+g4WzVTuo1lV65T8lJXfUphVmFBWkZ0+GlPA9Cd9CBArwQaXKz9lVt1E/JYy
WIgRcTsNzn8xw9bwpvsIBjBVgXOQ0robCVWxA+9YmaiH8yw+S4KNBsd4bnG1rMbq87g4d8pPDqO/
dFur7/ZpjxmoDk5J6qpV4slpRzPX7aNkvkgI2o9+b4ZIFNy5qx4lBpGD19TrDIQjE7LE6O8ZF/KF
oWS4cS1icdPTTkLpX1xCGTik6PkatIHBjefhBBHlDWLfo8onjMURpM78dl68F6tgjtWwxYLc5+xa
Erzhon8r8DRtJ1dcVC1OJB9txry+6aOJjOD5ODvpnUl+VRVxzqr5ZprVzRC0ctMvpbmO3encjeYL
Ud40HAi6y2p5dhmSr6Jyzm/Tobqr8n4Ph/E2X/KTSebFStUe/NQe51ijmK/hcCakBihOl/nPwD6R
+xoMwe2yhgIyTD2WDRsbYNrMN8UsYT+wpyxK1CrTVSTBQzdAEbCSAkJx0u4s+IhRkd4NlfE4jUT6
oNRcSe3qSMOVX/bf/ATlpOVl9zYMx3AoWfsqC/aqtwE+eN8Pksc5c0hvEvupHXcmOPWeI7m0zI2U
8nGpxF0ZNc16UmiC+yIfH9ScPHiRdWwhkAR18ApDfa18t4X3aCDkT9uPCt070AH8KCxCF6gp7OVp
kcbv5hSfKzasjbDg8PkhNF3I046T0uhP0BTiO5ILLsJlquiWQD/cbeFX60FF566T1DZIPpdeg05v
4bRtbLSo3Lb3M0pwlh8ImBwR7ZrQ+STaDoIlS78mRyRPPvZ8yCe3OLZFBSwQXqwzG6e8W566ekrg
E/WIguRjNuKsyzjRhigL4c7a7+GQvWd+cJEM+xmbQ/RDuzvjLZvKtRuNweHHY+a/elI95fqbQy/9
3rbv/3zi6Vf9eeJh64WKjkSCXfrvotA/TzzrN04z9KIOyX7IO3g0/zE2C3/z8XvAdUc55zi/jM0I
CYTlpR3bvkNlY/1HSYC2/tZ+qpH0SeTbSCB99BuEC5KH8Ov5sDhJmdgyNa/M77CklguzK+uzjL+B
OVlgHK1aCCfwZQfIjaF9M9V8vSVuzoOHMmCtp3F8KOCkwMxhDGGofZcnrxXZ7Q1EFacKLrVGrHT+
m6XpPQXslQUGS+/Sw8aIIIiMHQiKq54yDWwZQrNYN6BhNwAm3yKoLgQ+nF08ZYS1vS+Qvy3oLwzL
mZzBg0ncakuf5bNxTw8dZ/cqgx1jxf5hwlSPoqvXD/Y3pPfPC7SZEOqM8Dj5cjg0xlSh2B8+5fhI
VgJSTRsauwVyTRry5OMn29chxKMphGGZ9iwLGX8TwDMd+5TRlTEjKsAz6sPGaTtELjO0nGayFQyS
2T8uGqUDhvmcmQUtzmQcoE+zDyYf8TAYTGeEOto/iDzew1QPD3Nfts8FzJ5Cw3u8JjjF0HwQ0pxZ
2JXr2lQXALEuykTf2LowgPrRyMAEDGcBHcgLcVg28IJm6xuDoc8xFKE5cNm9aLDQEkyfcxPUUNE4
F2iZ3x2fxyaF+TMpP1gTTQBFBo+fXiOLyIX0tqaaDxk0oyCYtjWLyaHjM4s18Gj6HX4EyBwSEtkV
gDAiP5P73uWoZECSzgxxarM/ygD6f++HMEjtnr6+kWbrb+0fRuXuh2m5GJvpmPWu3W+8H7Zm9cPi
XNqy3cyFSDZxwsObBQJ2hYaMSRzSlbZKG9o07ZAkqDs5/m1i0IGz2tMW6zBvPpC1eKuZ0cCsbdi+
NmTHbv7gLzVxiI5/aySsbHsg+zjcCaIzktcCX3cVYPAe1fiIPBMDtTZ/I/X/luEGt2f1fel5eI74
xGNCq1fori6mtpDnDJpbbSonbs/ZCnzm6ofhPMwPImnfgtztd7hVCriBwdusN3+1YACJ2fAbZ6O2
k01a0NCHm0ob3E1tdS9i4zZ+K0Z2ZfEJruk3gS3exR5vM7ly8+XsVdU+k/U9GT90+hjqa5HWKw+L
PZM6zKKUJrHpvUR4yfYuXwms6SVemvsUm/4sjO5m6t4q10WaPBvybKBGSjf8VUqzkTYGBczK89Di
GkkHTERhq9ChJcwiH4ZZxsc8Sc6LV92ijzypqv7wQoEnBMmmuUNj3n7977nyYy8j6Hj/5lxJ3rv+
X50rvOrPcwWhH45HMlxtl6BvjcH781xxfjM1p4EIYOCfgUbz/IGLsH5Dd0IaDmQCQUulm6z/ow6E
JIFryWHhjH9B/KceBffHufGP3lufK3B5Ap8gaxdLBH3Vr+cKGTmmUxdNcWcWPqIHgTTXEtMn9gPx
vm+Ma51Q23cMcPKCp2Y7k5ozY1cOFlTc5FN+l4Oe7YRPFGlQka0m0H7petWRGoHw+hAUw87roy3O
6cM08U+g2KuJ4QyH7Vvn9mtQYIgMGYZ1qnlPfFQV/fDd55aZUL33Bjyp2aovjRJfPXYr8UyqodNJ
ojDTcjhkdXtgx37uGDUDztstcK8Np4Wb5Y4gouWzT7M22cnANF+ke/Ri7wV3ALupV+wE7s6PooG9
SYloA5oXD1um28LrTlgkxl0Q1SCpGGs72TZPskcwe/Uag9e0HWt1X2GfXHVBvZs8zfTimzuTfGSv
eYwvG6NC9GKQGRk6xTfoCPV+tllxpyyo2TBET20hP4p6UBuzmgw0vNklF1CC0tjOgQvUxTqpfXft
KzmjeAy2HGOcoT3Li6l47t3WOJXQowEx3ycty4cqCE/WiHnDd/tLWNlPTTLs7V7d06EZ20HPlBnj
IBoO4BToHYdd3RNZVq5EEL5lmfUwd+gJGDKSrUWKJvknztNSpm85sPupwDaKN4xpY0puBM63rDE/
KCK8A9Qy3GHpMG+BYcQU1w6BMclLkvH9xzMMo4UQrrUHgHrwmDLXlSPwAWJpyXK8GMVmQqwj0i4F
dm15ayjtq9RUHWdCWK1kRRTfXD6oVqi1DGrKfAcedYzapKmAyvUzuMAJl/iadM1wY5W52JdyuEoZ
MNaN+L13COssFGBmWb9ZQ3rTZ+lNmwIVN2KLXQ1yHNJjASCEHTEypYGAKuvrfeTI2wq6epO6/rEw
UNbEXXprZvKNPMF01xSsYUgE2SgUix41x2rSGgCrQFplmXe23a1rdyIb2YrObTwcQVU/D8a4l12F
j0zuMP1CaSvTDgnIGG6FNxFqUCREZZrjq1ZsdCPOnkztp7SeGWQjN608eTVnfqrZv5M0z8g3xscg
L3Y9wQzLbT9eIiPdzWZ4jFV1tdzqzh6jA+P0K6pODC86zkenAgyghenFlo29wH3yIGlzgaYR+hjO
noYmVlb8pVXp1uuA2ovBPm1UaY4fHF35RpUOZYHuZZy8+6JQtE8ywPiihqM0GuKdIVftrco9JhYz
6AUzZItPzkG3gZBtzxIl3roK6SY4jmkXGgGtMiubWCWQK6M8w6wgvg0gcHdDkn+TzvjaLMPXxZ8Q
y3X4B2NnupuHjO499bAC9F6/5XE0OmvG+PDVQZ73Z549GvVSY/hRDe6QquyPbkX7t3PYpbjPo5lr
qZtoWV4JbCLx1FSwF3zVLttgQJC4DSpDoPAZbSc4YBObiUJx3CW9RUE9D4+hWVr94xS2hnMe1CDP
k4tJ+LVdhD1e874+SC0JrDP6bqllgqkWDDaQJSwUhJ2WEva5OgkEPrtWywwDwzu75OFtXHb4cCi8
rw1gFtp4DysjOsXcgFqTENW3sszFOzlazphXFLf8cRhbrvxcR+Id77S96QPEec7SfOCSGdcOTmoA
FYglTS2bbPtWodpVl7nuNioNs12OxlJU7b0RDecykJ/HdMKH6tCBa52kpeWZNUGXnaNO7EFcc2JL
4tfvKZkIKGeItrUBTzha7tn306NpZ7cROlAjm9+KxP5YLASiXex+5GOJRyLdGMuJ2oyQWpfdJLLS
HPDOykyIrlYEVpyLxL+YeWFuQqSoE5LU5Ic2VatUG3yXKy7GW8/X4dhuGG9NRK3oHuzNhHyO8clw
WcyZWZPSgsGsPvgV3PmO1eWeDEWe7QAVfa2dXSB3sYg1nvp8s7jxi61VtoHIkMwYxHsGeTjx5hhK
dMqws4Q4fJTmnmJxW09avVuqetr6CHrroEfZG2DxiS3/mk7VZSh8WGB1dA1ZB3dld4iH/t0Lp3kL
aeZx1pLhRYuHIy0jxvj7HGlh8UBjIwt5yoyc7xHt8aBFyNx1gmtgQZisJcotWmWk4c88oHdmXdzk
ZdLTijkHB3Uze6K9kSJ3HtE9N5NzN2LMCl35JdXCaAuFtDDZtmrJNEngEQ5Dq1276KljY+RI0BJr
2w0zds056h86pTGu1llgN/vOTad1KrprjlabSmRX2f2nscSLlIOvFVrWPQ9CbXMt9TatoNmEOZkN
UGWQemtJuJePe5ImrD3ateDY84Guu6S4mrUWUaIpH6qqXTVeePJRmxcYzln5cwhqIbqRLvHemCwi
MUJvPU8+jjXutHNs2XeelrIbHZbIvjLJddVC9xH+CJtZLX73naMQ6V0yZAxsJRuiimkYDzkecKiq
ltLmlnCDO7sdkdVbmIY8lPaVjF8gyV+7yv+6oMRXnrmrEefLHJE+QLpNj2w/KutXUwYHR7SPE+My
JzPYXKPzN4vkbCP8j6niB9/+HubLKcYYAM8Sy1FvPlbaM1AZLi49Yrz+W3b/XnYz0f+bsvu96t//
Z128/8uZDi/9qfbmWWDBGnGxCf8Y3PxZe9u/QScR8OIpgH8PLP5jpqM9wMJzuBLED8Qb26g/nDke
UiiEU4RAMPYDgvmfSaEsPbP5pfZGagV0AuibS61P8fRr7e1bsVUUrSuvdsCZTMWmqdHaxqafkLaK
reMU5bsCYEVVVnaNozJ5K4FZoHLYBXjheXzc+kNzJB3yuhjwj3CLonH35U2hyRhMSj/NoDICdIib
oEMeERj9dpzzp99jbvoFk6GmbMjMv1cxSNdVu2S1uSU6heQPJhPIjAh5XXTaK5bdcZ9ECchel7uq
MnsCuYiHXbIWD0TMAIFJwhJJBBI6S3bwSJVlBgCHmfCSeYbCRKS3u0l0Cu04ms+jjqUl8H6yyant
ke+uvR/ZtYTYEm6Hn0Tn2jY64Rbs0Q9nIlOvKvsapjhHZ52IO5SoBQpCchkhR8dC5+Yib9/KyjD3
jCGKs+sa0w0xfGBKCBZeizZ7TpuSTXrBQc1G4iqhLeko3tW0IOv3BrxgDRVl3jx7KNTqBugH5f6N
UGCwecBoR2E1bCqjqCmPzGYdtnymeTNc6praJJ9lsVtGY1+37smt7E9lNj6EAJq0cMEFzGIdfKeh
n8nTbyiIL3G13C52OWJ3FdRnWfta9ABGtF4bBujNkAQYLXB1reN8WBuL6lEak9GM0N5hepU5m8L2
mMx493k0U5dN3URtF28bVPW7yZBfG5u0HVy3MI8BvzXGXprlTVmmV7ZMZ8dBtVCK7ozji3Sfobtr
Uq9fBTkfjYl+ZCvY5neMMrps2DdMpHw3wdcdSgP9dCapcKsNdcS+zYy7XMnugtuqX7ktCpgh8B7Y
jF/Q4On0MewbohT+GuFyjdl7AZ0p+o5wI5OYAzrCLu6eVEg6xJhVl1hEn+dmnHcFxqwYpeDG7c1P
omk+Z07jk1TBvKjpPUZ98X2MTshS2jat8PSG31pvApczdnyGnXeMm9RaYam/6YfumsquMe6l9Ivl
+6yK/OCXJUdW/QlCXQPxbzx32ghcIQ4+ZX34JnPzgT7rW1DP65aCol7iHeu1Td1NJI4zSjTtsyyS
21TKk8q620oWd2OFtKfpaL2KaJiOXuR+IM8aWKxNjtinQ+SPVGXjglFmucQNiyoLXe8u1suryfF4
X7HH6ruf9HoL2DYYOOeudd86vf4qh/C5YvFSsBdr7ZZdWu8eJzZmcb3cDYuNWxrfKprpex52eFuJ
trORXKOQ4+pj/4aa/IapAhNR9Fe07A8MBNbRHD8utaIF0Uu8RK/z7LbnRin9ah/GFkW6Xvs57P8g
nsaHRq8Ebb0clHpNaAxcOWRrksOsl4gl28SAraIvqg/JlrHU60aIs5+WKr5xLTpfpVeSrl5Omm3k
r/ys/hIMBnCVPLmQUcRjwjTvSknDCT/cusIa++4syLrNZfo+dAZZ3556YPpYH51q/Ix4Z9cI83VO
/UtQNLtQS9pLFqCIcjoB4Sx+qRSY2HxiJRPMWHxx2tXtXZiSVg7/Z9FbKbeJbjNI25vUyw+SvNGT
b7jPAVZ63plSOhRPlonpJHElvLrGqkEBZWrbGPZFcRvc+TJ8YL94UIVIYQaNwPNIKLLrzFqlEly2
6/cbflY0PzkelZAI06RhctwTKEzjV2yxh3zE4deUGXzXOw85nwnnAAl7/8veeSw3smzn+lV2aF6M
8mYgRQie3rZhTypAEru89/X090ua3TTo1ukDDnAjDjWQtNksAInMlcv8xsMIvY7ti6RWFzLWboSw
SJ9AaC4n7dgF064NlzReKXbCmEFxLT0EPA6sfTEzDFSADe/MR84FtknQHuuSQgPeU4aVofZXfYpc
TJLTuc0ChS5CunIwsOLYlt5hjzGnK80iG516wMD0A6wfiBcFeLrSruxhK3t6v5D84loN3KWJIjk6
DmaDtD+gL8er7iPVxwCg0palgYdxWxSnTA+oBdX8ujH6Ex1+wlTSimVD/mdE+Rn4s/gwVzpsUvsr
GQ4mlrIDEB7rOCuclaRI3Y0/Ds2ia9RN5ECnxyX8EoxTCBUPoPp/8qmnfIqu3v+ZT5XNuGVExl++
SqcM9CUNpLrJgGyHTOtVOqXRQgRbTs/SNi3+6mc6xdReQIme3b3pcr5Kp2hAqqL7KOMV9WegENV4
C7riSRjCYHmJljjDMvFW3qZTjitlSFXbmBYiP7FQBnwNSzgucAPTb0Gp2XNA4ArYojLijrfAhxr1
YWEof7dcjJMsSbojnOU0lHApCGu5WXkZXQvWA0omMIosbRANo4wLrfCuc0sU1IQ/I7wKoYuAZ6Ml
3BulfHAu/CL5YpQ2FU6nDWxznCojZDy8OqPN9Q1zwhuu4fTcEoJimZAWa4TImAzG+ChBd8zVET2N
HOeS27ifQO7foPjWLDyEt29STgWgneMw74eFDDtLqvorEpXzXhwkSs2zlpMFVHtpiKPWcuYSq7zG
WQEkxJCdVuJYerW2jDAAwz+guofrQavW89q5JY6zxrnG3ONad4aFLw48g4NJVZbBYUssUBSIw13f
nbXC0c4ePQikInb0SNqKaNJHjT+Ly2jmGOOV+xhxROyxRBSKA1plCYHJyYMjR0QqmlDzkdAVihgW
iGhGSFp2Ir4VItJJIubhwxVMGuS4G8KhJuIijNgpzWqwoIRMVEOusupBJZBaPK4RkTUQMdZXqrXf
pPq0EvFXJxCHIiID3FUmwNAmmYjWTLAwESaA2wRy+ADZRZEodJuJ8bKI9oGI+6Ca1OWoqje6uBOi
1pnZXBJYHTlH5EJIxnB/mFwksrhRbDJ2DCaPYRlfdFw5dYxEJldQJu4ixQi+OeJ2SsU95Yoby+Hq
GrnChmL4js7IghThhy7uuERrr0hmGKVy/fHKPVqw8aYVN2Mq7shCGS5CcWu6XJ+OuEdbrbzDbZu2
TKmoqGyAB/JpQs8Lq3EMWMAV47lxYQj8EHIU8EpbyTrKBbqofwQaWY+gIy0vpAncCpIfuztqDQ1+
n0W7rl/VmrsYDK2baW556+jw6fQhBR6U8xIomeRNtCo7mFONwRLbnotxmj9+0fJMmcCJ76Zabl3b
hXlcK8Mm9otoBkzyKnZ979gcW1okuHPAmlUc+LORCTIdx5OHcMwdpGmsh96iEQCHjSFbi3NZplSX
NVQwDuKpC0hnBog4h5VFUhugtVNE8BWyUThk2Agm9gN/0bdw8TpvWISKS/fdvYix/JzpSS0jrdJk
U7NhYonIwHGhpvJ8lM2CRg69fHy4LTc96kK1mgWuehuif8vsra5PfF2ST7WuNDay7EY3maznq7i1
AS0rsQ8w9T+309PtRKD+ze2E0h/iC82Wu4m/e3U36TCBcJBA9RxsIrfMP3eTdmBhx8DF8AjREFSr
lzGbCubDYfrGdIY7TdG50X6O2SAFC90MuqmieWD9CWBRsRjYvS31dS5McCIyyD/MMUwuyNfwPoUK
q4lKM7voS5l2WgsFV4eEzRi+W/kWfcd2wMunkTsAHoLVK8cJIyQTh9nDWJCBg8StTrl/SYA0rbgO
aROujL6pzrrIzR/yGpC6JcjJfmwNhFE8MKY5gC5uM0Y+F1WZ1OdFGOq3kmzWC8VVDfwVXAW/3tRN
zyIvdx5sCZJ4HxvnngLNRPX8bjnaZvIFHrbBnJtLpFON5rSufAu5sDQrJlYjRQvFGLKvWiODFtMq
dZMZTfzdkON05RnobaW5W61bzZHnvmzjAVQ63dIKO3yA/Ta/7ARTHrFFiiAvn7WIMyLhKGH0eY+j
ta8fK9DCh34BoaNZQk9ppI3uOaF/hnBgUzCwqtLy3PIZDlme0vvXfujQ0+0aCJIjLUerO4NyDg1e
9nRuMuSwYWmkk7jNO1DvzAyCY1NKGY4FTTzcha1aIH6KFKoDqPLW7GJtPUiWkUGiMtMFWS64jQY5
qrrLxrVo6NA4wRIUgXDAG4GnODCYW++OnRRM5XQc127ljxsz6L+XUrFIveBIsrhMEoUJRmcg2yDl
HXxhW2mGZQRZgwZnPZxEWY/+U+1EXPxJBhEo6LxgUSW1RjekxVuMDuw33Qq46x3li0Y7dpVLAMB9
uWsnhl3WiNFX5rXt58lhLWF0hm6tedY7KDwA2XBkqgsDin8lJ8yaYudOsjrpSItrC2pqch7aijQr
6xZBJInEYt7FRVHPcIxH5EzK8LfK3RTxfLtiKjCaPzy6nLPRgbraM8Q5sUJI8RXjoFvFtbJpNwqW
RjRmt2PTS8dsXoSbrLQ7B2nqfscmsPuSCm51k/UgR7G/vfAFKztFPDiepQhdVBAVsBJpUdevGQ8b
1cxDlg6iMzpmK7Wl2WpSUscobvaddkm6hwuvnJnKJhdM9kLg9Rw6uRNEmoz/xOIn9LgOPuE3sTiL
1+kW6Lj4q1eRGHdcRQE/Lb8H0iGTBOJBQ49Rw8xEFBAvVYJ9IDB3zDSAr2koOtIKfakS7AOcNCwB
ztMRJNBAxv0BdBwa7PtIbFkWqDyA6yph2JIF5+EV0BpdnbBkgjGc26hFXNCCTK7QWba+Z7GuHg1d
FN0OSm0t7LqVT8nDXOrt1idza8evltPV176cxfAKFaKHk7lzS6pLlOwKhAoK+SyOfee01RT3xDAQ
DdL6mr9vQdjPmrG2QUeRRkmM63t1LCZV7dcrvJ0j9M9kwEJp587kASZOmVf9j8T3vSNgy+NEl+pw
Rk6C+jHVDVCG4aujFlMcCteDm1hHDSeSICl1x2mU4eGVdf0Uj0N32sfyOTj2jPoiiqaOWeBEEBho
tanCDkCr4YSGo5hmheEmH5ROv6xTaDPj6AlNw1u/91xaui3auLTFMmY4SJsg0DM6HfQmS73wFO+7
HA2YdmnlQs/TSwNZ1DnSHNKyNr3xaPQa7cj3ZWse045VpKI6BLPtzGQfB7coTvV5i+fhylRaG80N
LzoqkhxAeNZejmVI1y2uUOeQjBEde4OGIVIaquechRqhtx1YHanhzgpwXpolgaKcV5UK+sTq8sPC
r47QlvwBtrGfJNgMCWR5OFc81GC9YqynmJr5c4ZM5SyWInnhmsoq1CVUHEoPadx2mdSRKwTf8jW+
r+FpX+sbNCmRo5M9SE4G+WYH3AWU+rWp0Y+wPG0S9f1SbeOvKiAz50R30Pug+jxvC+UiU+2vsldh
kMcoKac93ROFMSwy5i4qf+SSCGKh7eadVhXjdytNjitN2RhG1iwqs7tuKUgpW9tIuOXRaEvkc8tz
VmmSLVvNOAl75zTv5KWvABkfYw+rENe8AFq3GL3gPBkDtGHqZOHoEP5HYzg1GH7nkfSF0Qj3f68j
xY3Uwti4PxK1vNM66F+Ob99jzbjED+9LQXsOTb0cha68Shi8qUNyVkQURlNVM5t73Rb8N82AFelm
/YnTcedTCwfRiWIC3BQqNtlR7rjazMK54cRDa+fwP4nxY2JsMDD6dTC+2fjrZP0xLRZ/9SoYEzVV
g4BLV+aRCv8qLZZNQrRolYBtFoDjl7RYPtDpytgIwOLRCk/jZ1qsAXhGDIBo7DzGYpLpPwjGhiKY
XW8mYEIdV6CkBaGHvsW7tDiNyZhj3sZ5i6tqNQs15PQNGY3QVMJa0IPmoeNUJsbVbtsc9t2g0KiB
+aq0zlFtROY0B0e28MLhxpYyuophwrBVCZCjM5N52OT3ntorzAFqIP5LxP0baaZJzdfKHvWrAaXY
pVmaLnXcwCSlt6jiVW2aW215it9AMzE81UcSXbmrMQeS3aZe5V2K2GyItj/uHhFePmCClf6Smbd5
WYDkZFbT2TPSX9S9SZ4nsSO6MQ2AuMHJHRrYCXo2EXr+jbRSQqxWQ8rVid0ED0qq9siHtoyL6jRs
V6bQaaO7j7K6FnmTyE2Vc1cNMZpsUv4b6uQrC9XVSc7Lj8KSpEQZkFdBqHIUhiX0uzjHeJjEeJmE
eJr0eJvUJc0qTvC6Rgrk2BQGKFndGszQw6sMM3D4vcethDltaWpIoifFsBx9hUCGp4rdMNwvH21W
0NLLx+rawX8FeKB9aBTjRdlFw0zDo4U5zX2GZwu2phb6wv4RehAXRu3eeC2aJx0Coy1SvWWuH8r4
vxhVR4NFWMJg7WMxAMm+h118hNztbR9iHzPgI9MLQ5mmdhYBDjNG6mxyYTmjYFeLswtK7anJsmAs
xHhJ+NQEAaK/kfCuUTGxsTGzYdSUIOoJ+jpOjX7OBYy0jnC/Gavqm9lWt7YJykxXs3nkBagleQHz
R8xzMg0t40T46fS26c0qub/J+OrjR+hR0MpIyozYGZjQfaae3lzkAqskC9RSCXxJz+vvhO6HBAD6
wtWUh1wgnZBiEJrIKrwnUFDQfduFKZBRY1HhasR2XTYyAH/5EUIVCDRVrmuHksBXeaQuU83OOAiA
rwZAWDpgLE2gshxkqOZKWKFTZWKMlQJbqOQhmXL282kukF0BNj6m78LZATAJsoYzgvZbPGkFJsxF
xZEiQJt0wMW8FtyYb/fnGkAyFUCZD7DMjOxDCaBZox4yOnO7U4dnVnp9nQtMmgk4LUrMbxYqgaAG
YwZa4TBzAbJFiP7LAtiW1t8tgXTLEOybZGHuzCvLKaeZA8+tDumPRfmpquJbIyVfKqBzUeGd1Eme
rBRAdQFqASogO73pAPcL3F3Z9+dJrI5Hthzf+mD0DJM6EOEj6zAsrBPVQe0OPF8sgH2MvlVmpxFy
zwL25/kAAEEBBocNmEAVbCDTkNtYgAVtARs0wQ/qlvGtKatzVQALfbKqWS/AhmhiGbNSABCxNmSQ
3NRLtMRgSptjP5XIJDvT/YYMdIrFE0BavBUIPfwd6JCermuMy0h06I7lphBgSHXEag2d/BVJxYhM
EZBJh2WdtqAoVdCUdYdRjiYAlm1Y6bOoLc1VBPoSuc9jHTRmgC4fjHJ6gTFITRnE5mhqNy64yWkp
wJxFHUsw6ZQr9FgoycCIeVp6qQoIqAIW1HSaZS3AoUVqu3O1ai9Lhpcu+NHWr07lR0Ap7LpAQExd
K7mMwZz2ViAd+aBQAwFHlev+yASf2nqYj4FeMKYY2ceI12EQGQtA6yj7p6gu0E8kNZhJZfy3N7o3
RU66NChMpzQBje398KHM6TtkdDxkAZ8lt1SnqYDUdp40rmpQtpbAAY3FeDloTLMlAcWNHO+6h9nV
CIwuWF3HSVqy0PIIZioq64qPpJmA9mqd2WC5DdENBt33BPxv7cnrouoD8jCgwTYYYbNJvqhghkcs
NERZP9dbfVGCKkZl/DgAZRxWbr0a2USUtWYATlpeDpZyP4JNNjxidi80ukEtF0q5AWp6WoNmHkE9
WgLeXA3NVAfvnKEdgjoH8pbMvelariyQ0bKHD17LJkCMgsidw5kEeGYIOHU/WDfQKU9H3dhENYEy
0MxsTh9+xeHuJzWobIX246SvnPPSATalgtyO2beoqcDotATiqFWlCQftEm5bC6MBSVMZbVPuznKe
BX6DbxtDN9SCzHNbiKHS8VCXZVV+DyLl2sCXbEre/0Wx6lvcmOgbExeoW8AaoxarEEEUMNf2HaSb
flk65YL3d1eGiMakdvZQCcVWJ6R/ihXeeIbLhjFzEXblzkM6hd91uX9cC+1XaCp0h1GDdZLmwRXp
sGwVD5qfnoehg4WO0JCtW/dUQRQDI2v0ZR2hNOuRl+NRjfosp6yYurZx5iP8McuFRq3EDChDtHbA
GXxuESeFmm2HrO0g9G0DKfwRIXiL2SuAySRZui7yFeHAd+C214qRK+AcCutolKxDHIe5ilMgKtBy
LFAvI6YeklKdg4mZeUPydyRH2RRp7vPegotYSaiiaUGCuXr+ty2lTHZ057YTWvZSgeYuffl15CMG
kSNPIKO6cFli9kE0rxz3VG/9pR/oBrqIAEAO0WNwCsQi48w3J2Uge7iVB0U7ArpzCv/kP3n0Ux5N
WvmbPLoBSbbZkkfzVy95NKbHyDhwDGgaoMosMuKXPFpxDmDlIbVlPJpgvWov44KF3KiQcjbkF4LH
S1PDOBD9D/rUEOw1KHXKn+TRqv0eSWbiwKXQqAbnptPykOmMv25qIFQlF9SDzdkYg8DqET2hU+Yj
f0xjT24RVSpjgYvHACZzT4PS7maG0uGFl7YXSZUdWsxOJxU90YnTFjO84I/BUJ4OFr2IDFq3LEcP
LVhiRMlbRBslyKlup57i2Ycoi2x606QSQ1f5G7Hxh1rp350Cc0jbd8h7hBC7I42LWJckBJp8+GAI
xGN0h9Z6Hn4FS/YjH7IvrR8wkqurHA8m82tZ1IcpU9vakb65KTJR6FtA4j1tI/8E9tqPKrMRlXWs
CwDa97Hj2bibI+kEWsVcQjc7apTsNhnkYY76CMPNGqBmEXeojXRfBjUv517dLXQdpq8aat1U70iG
Isl+KHxE7O3YPKnq+KZDQHpq43lkRPZVFjgPYIwuAOtgswkDhqZyWM/djh5z3tIESe/dOrt1C/W8
ytJ7RhXwe6PSmzdpR7S2kgta7Cvhs6qH3o9YRc8nj+181pmRCIPZfac4wF/x+kkGaNy5qo2zAYOd
BYe9nDKfOKkr2iO6e4Ly6mzkRkKps1vIZXfkOc5KyPxg7YMfZbixkvJGQxkL54XviTeijC8a4XxJ
jozpYddhgabKSCGrfWFekvye+k7/dxw62Qx9HjBirjxtyhBDWFn9pnvGlV5jh2YH0Y3uqX83qtke
DoH4cwOVXF1rvidSs6oyH2qbYS6aGtEiCqWQYiu+RVYgWqh5w1zPkJHWtyCNKnQ+ZFot5hgtZCuH
ZWfLy6L2M8SfETFqcr41QC/dlO4dEuNkUAVaUiZWbEu3QrgTbdIjRL+9WRlin2F045UVG8suNRYN
QpEY3LpCRpoqiOSE7vpYhTNuRDIQGt1Te2QTDxXfYaLm3rwrx2sE2HjV1EZ8qF24cnM92tpR0AFX
slSqqqpwvZkXM2xGvuq+zvrvNnLxE8vM72QlwxIyc6dl1wPhkgP0BUoG+pK/klOMsSUL3rosZ0tz
kJeKHDRTRNycVe13A1ZS9iYJixOQ5e0kr8J8Xjr1oekNw0xtwBIg2fglKwy0A8B6sRuTCRK/dxWF
5FQuFXOij+C+0HVXj/U0Ii2jueodxqrja7Mo6r6pdlS281Kq/OAry+DW52ptQc83A0NbmG4ipzcW
6sHZTK/zEfnKMq78Kaq71gWXZEDzqEDHRyt67zZo8nkVs4Umuq+7Z3lVwZMhn7JhRMqGx+yKLMwv
ZCFpZvSXaMxhCFwE2ry36E1NGpxYZxRPVXHY4MmOVEKA+M6UHnCczKpBA+8ag8sz+2Iph5r6Peoo
fk7jNG+IM7EPoMC07mUPIzJq06GEKcpM3RlJnnSjmAeBank3cm3F1a3qth5gfm1UUdmSE9P9gYKa
r5/KOJRJ1OF9k/8HLfQ0AxDAml9fl7egirdclm9nsVx4SE8qaD068At+XpYqEwAVvIQM6VC2+D//
aTpp9gGTWB26vGJrYOr0V7BrDJsUDJRQdWQeq4rh7h80negrvW86UfWaOiktkyTAR+8pj+hkhGms
hv05Y1NpAp+D+X55U6uYx4YqIXjE/PYmaJWYU5Mk11XjlitJVppVM7rKVAGE5tH5ryeFrp0x65Dn
nE8oNlYIXJHhXq3K5rFftHdO0+U32ZBVc5S0+wvH8/IpqlDW1Gnc7Eav2tNSZp/XKTStwIdi4hXw
vLvUu4Iany4bQ9XmXou7aqUoXxLEYVZxDAsudLQl1j6H2mDfeEVTLnodhT+zzYPzOOiTKXfPD8a8
6FxjBYiNWfCl0Lvs1FeHdFGPDljiKEVSnSU4DxTbXfRy7azgHlGBdSrTssTBkDu3nBlmZ0jDpmMN
qZz5CFIWzKxDGmxNctLQGooc6bYDIIWHTTN18GumPs6P5EbHqtGT56rXHkWlhNic/ZXVPM0y2k1y
nTF7oNyapJH/w2j1dW8idZ512TeviL4JpsccqxqmAF5wXesMALRYgsqdglc1PW8VjaiGSWay0Tyk
efvUPDIRXaEUouPmGGG4qCUDQ3K3Q2nTGG/5okMGH/l1JrlnOmNeGwUCTVic67n24A7VBRy/9gRm
GPCoGr/lorPPYKtQUbjjmZHxldZ5P8NskP6Gdqdq5bexi+4lN6eJ4WMUHPfnZkdhQTWEIjXmeejH
qYcIFxkk8DDC8Vc/BzJXT9VEp6dnnmR9An7W0rClUPzb3BsvdR39gcKC2NKPEniyCCcayuWpiWm7
fa4NBMY7WTWN4dAiCZhjz3MMsH6kyIdZNkP/spr4lrGRKkTzG6FmLw2LR8kA1wkN6vj4qIUJADmU
9puaKCd4s+LQJIhlrqyAAjXsYDkYEfMrzMAAHKlXJZ6q09YugQJ7EThyev+DHwx4IQEMz0JnQULI
xR2NLHJQuYfSUBUI10Q4gnHApzI7FQ/OqzhNwfoH+mFvOxWD60S+SX0XQruOjlKWwiY2QlTKHROn
CxfFal1O0U1xNwNmEQGWF4eRYdyUtUsfL62nKDJNLcs50yt0VpAdNBGUbmTwtuahZJf6uVUPNEeZ
gE9zJUC1s9Sv2yjLpm5tnMgMiaYOgK2pLBlHJZiDI2XIjgs9Vg6LLOBbqh2GM98rxT2XOm/B6Lpf
kBbCgC4DJmdJiQISVSmV58wu4js/NhZ2lnPUOSa5GDKpSfIjZ+rUi/FTJFn2LBYjKV8Mp1wxpqJs
QydAp/hvbPesLRDMDh1zruKvTfumZZ/DUYBg0F8OSgWUGwjbUTGM9qQRIzK5qPW5XWX6cvBcBmhi
lJYX6bEnhmuDGLNBwR0RslSkpS6GcFmRX5oSFfnIfA71n+9YJWgXahj0U6IfBNwALw+fuZ5EAuyJ
QZ/JxK+wQu/vihmg43OMLy3mguPjhJChPG27/1/KzWe9nNm6Xs9TBPOHy2ZTDlebipynerlaxG8v
MmwmbrJ/7x/9/kF/bR5f+WbIN//9X+sH8J6zoKrL4L4WZefj7w4f/vu/nm/k9/I2j2/s8V3/9jnx
mk/XPPAKmo5sAAb1DNdRLuIHFBQG797zryWFMhZVGawUZX7D7f9qjX61Cr//gE/L+ft/89s3/34R
RFH7Ji3580UASkBG4gA+2L4IpCegDGyDSdk+LMLrjQBeACTDH39+vuWfe8A6IMMyAbrh5C1+6GK8
3wOwdlWLHsLT+uzDInw4DkDJ/52V4DlvlgLQBZIbpvb0Sck23ywFOwFlQbJU/mw/T8PTG3tSJP0n
Vv1RSKBxpQBHJNf+xWnAQpX9gtYjG2UvF0GhtPjjI/F2IxgHGsNv1sD85ZkQMUNBHGVPF0F+jxL4
d+IitZBhIm+2fSdwOYCagsBhPV1Ee3g5PG3RXY4DVaaoSlWbz/g2Fsh8+kfNtae4ua+nwdh5DRAX
QqwOxTqw0o8/W8Kiw2FBDHhfF0FIJe0YEuwDBJtUBYDLU0gQAeN1qqTKBzQlHYHk3tOQoOyeKjkH
MoMJS0Zp8PHnwyKoB8wvFKSj9nUR5N2TZnJi8T0TGH+5CNjC0UjSnxZ8D+Pi07ezQ1zEqdSiG2ep
InMWPx9iAqUFe4VU6Skl2b9FUHffCTaps5jWPa/Bh0UQ5RMwNocDs6cxQX7KX3bYCbRoEcNGyfM5
ZxZp+PvASGGlUEA9JVP7ekc8x+3dloJBMM0sJr+PP3zUt0sBtUh3kPXe2zviuc7fZRGYbzO7Nmjx
PkWG9/tBpI2YPUEa3tvwuHslSRXFQENB0PrjFoA/BhXM2Ne4KARpdsuVRMJom4quf/z0+gHuVuAi
4L09/uxpWFR2Tpo1FUw0mpykS0+xgAz0TSxQjAMUiDgmVBfiZ1/DovK0T3eLCIDJOQ/WcyH5ISKI
3NoxcUjfiwYbH/h9l/G517HLIjgHivj4eLs/7YcPd4NGwoQnryayiP3sq+yeMJkHFJJ00HT6ls/n
/+2hcA5MfkdvaW8XYfe7AdSY0Gw35OeM6X3TnS4jWDIwYKIdv587Yff6ATYJjSUG90+nQRTob3aC
KKf5tc4y7OkifFCB/uMOG/ckvTNIONqvegrqgQbAEBXofS2nn8/pLoFRx0dBheH5EhPeHweFKgtc
hm4Juic/e3tRPp3WXZbCPKDFRGZIbHj5qO8PBWI2CBEKUcC9jAzqzsmj9qi0yBKgMb51EagfHBN+
GizdlztkL5dC/4zEiZsCBK/y3Hh9fzS4KehM28Cq9jU+PHd/djkU1gEoL8f8p8vyYRG4SmzFITzo
L/tlP/fD7pkDOaSmqjShn0vrD0uhHJiiA6Hv7X54bonusB9E51FTiA4vQ9r31QSHAq0vbNqEv+Je
7gRt5/SJIAlcUUay4KX1+D59EpBKmWV6Nv7bw/brziMZdoLuPLIbnsMjy/r+usSaifHl80R4/xZB
WAiyRXc4DuwEKG+0k9Amfvzh1nm7CPhUCU1jTagf7edx2P2iRCgETjqZ0XNKQM3wfhF0R/wPQ33x
s685pHB72XE/oGslmu0IXj1lR+/vCEhLaLqSMezvIuw+pzQPEJoRbfjnwupDdclFaZiUXnuL5BFI
9x13gn0gbHodoFuPe/5jiU2LUmEVqCf2NDI8l727hEeKR1ZAJ2X65SLQiwa9YD9Fof27IwStcMed
oMFTlDFqfkYziZP/JjwSEzRwDXTd9rau3P04MItF2Qmw63NxvSUmwI/VSRf2tpjavYKw8Sp4vB+e
wZ7bFkFwT1GQ3+viWjiW7XgoaCNgrszc+rmY+pAzyAe0HyHPCslgXmsPI8POKTRkZNugYqTp9M/3
/SYyqOTYMtQkXL/3dRF2n0owlASvA8PsOYV+fygIjypXBAdnX9dg94zpMRewDEaWH+8GhRY1q/O8
RfZ1DXa/IRjMMJbR8eX9Ra6gsA8YXjnO0xWyr1WEUBvYMTgaEENUk+uQLoP4eZ8xiPEM2QQo8L09
E7tflo+daNhjLzv/ww0BHUC1GesKieC9vCH03a9JXTSSxDDy13AebEc1HfTvXmcMz9/RLrUEWTJj
KLCvz02396GSy5KGnEIKua8Zg9Dz2zEygGwyZQ0Az1Mn5WNVKR/wS3YMMLfnyLGXR+ODjOK/M74F
vGMyvfzF0RB0IQ4GZJmnC2Vfo8QzFG2XowGwQ5PFx/w1iUx1xOEQvP/93A+7J9NCDohEkQThcedv
uzQ5OAquz3u7CLsnkjatN4BedFTeJZJER35hoQG9t+dg97mMQHkpgPqAfD/+bOnGG5AjhJXgv34O
/oXK8x+C8tQP4oe5YAojn7iNwfyrf/Ayhfj4+1douEe+6Zt/KajKTy/+hJkT////vGUuP1bOr377
Ukk/vtLz3z9/xI8v/ubFXj7Xy39cBZtyXd77w+Mvhuc3erZO4Db/b8z/eli/x/KJrvjLf9tOs/7n
fvz901GL27w86CcnW9Dufn7Ujxzuf+3hyfohK18e9OrhHJydHz5p6nrbG2en7vzs6Tpet3wl1cuz
Xr139vvuz8/ipvrwlZJnkNZ8wsPTusRBNKvqbS9BONv5JWab+K+zrNy6/sSenZ8/j/+aZSWb5+VZ
r9af4mXn5y9KJFm3PZxMeOeHL+NNmr4859Ub/4zjumqSuyx+qD8+XqDdd37rh0m+KYN1/PKon+9e
AMl3f3w6bFl0Acze+dHHm3LLmot5+e6PDlJvSyBQPuOsnqyjLTFMEEp2ftsn66rabFuTzzigJ1n1
1/+m3ibebFuZzziip+sHAvDLOrzaiJ9xRE/XZbBtaT7jiIpn59m26C4whTt/raeb9CG7D7ZFLwHu
/4Tnl/ebh5cH/Vx3AYDb/eEZ7/3lOa+e/RnH9DTbuiafcUp5dL0pN8OWd/4ZJ/VsnW/Z6GJmvPOC
n23a9cfcESOazzii5+WaEPDyLl99nZ9xRC/i9f1mS+4o+rQ7L8tF3CTbkjsxjdv54VcBqWMVPGxZ
GTEC3/n51+v7kpIgrbfcpdpnnNLrdfrXZIPQ57YX+Iyj+vQCZbouH7YGMu0zDq14kVmw8bZ9iM84
teL5C07AfVDdb3uNzzi+4jWOsnXRbLuttM84w+IVTpqg+uv8LqjybZ/jMw6zeJXTdb3Z9vzPOM88
v17/NVmXd+ttOYOYHnzCsROvMUVNe0uwFk35z3qFXzsV/0ZT7V+qx6/99daaUDCAdn/39DC2Ls2n
HObf22TuvDC/c37b/eE41m7bM59yfus1IpTxuqlevsKf97AA5e7+tYo2y5Z7WP+Mc/tbk6dd1/2G
HB/1w5c1+LkuQklo53W5+Z2u/s5vvaFBlGzry4mxw87v/StPaLadVeMzzupvJJR3XZfb5m7LQTL+
76t2W1v2HyTUx2bti7rjtj9724sW/+I+3qzL//l/AAAA//8=</cx:binary>
              </cx:geoCache>
            </cx:geography>
          </cx:layoutPr>
        </cx:series>
      </cx:plotAreaRegion>
    </cx:plotArea>
  </cx:chart>
  <cx:spPr>
    <a:solidFill>
      <a:schemeClr val="tx2">
        <a:lumMod val="10000"/>
        <a:lumOff val="9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data id="1">
      <cx:strDim type="cat">
        <cx:f>_xlchart.v5.1</cx:f>
        <cx:nf>_xlchart.v5.0</cx:nf>
      </cx:strDim>
      <cx:numDim type="colorVal">
        <cx:f>_xlchart.v5.5</cx:f>
        <cx:nf>_xlchart.v5.4</cx:nf>
      </cx:numDim>
    </cx:data>
  </cx:chartData>
  <cx:chart>
    <cx:plotArea>
      <cx:plotAreaRegion>
        <cx:series layoutId="regionMap" uniqueId="{F63CA33F-5513-499C-89C4-B64010D868DC}" formatIdx="0">
          <cx:spPr>
            <a:effectLst>
              <a:outerShdw blurRad="50800" dist="50800" dir="5400000" algn="ctr" rotWithShape="0">
                <a:srgbClr val="00B050"/>
              </a:outerShdw>
            </a:effectLst>
          </cx:spPr>
          <cx:dataId val="0"/>
          <cx:layoutPr>
            <cx:geography cultureLanguage="en-GB" cultureRegion="PK" attribution="Powered by Bing">
              <cx:geoCache provider="{E9337A44-BEBE-4D9F-B70C-5C5E7DAFC167}">
                <cx:binary>7H3pb9tI8va/EuTzUtMHm9292FlgmpTk20mczCT5Qii2wvts3n/9W/SRkWQnSwMSfli965ndgaOo
VCIf1vFUddW/brt/3sbrVfmmS+JU//O2+/2tX1X5P3/7Td/662SlZ0lwW2Y6+17NbrPkt+z79+B2
/dtduWqD1PuNIGz+duuvymrdvf33v0Cat84usttVFWTp+3pd9h/Wuo4r/YvXXnzpzeouCVIn0FUZ
3Fb497f2Kg6+Z2UarN5uv0Z+f3uzSt+odRpU2Rs7q9Oqf/tmnVZB1X/s8/Xvb7dEkbdvftv9xGfa
vYnhC1T1HbyZWjPBCMOEMvnw8/ZNnKXe48sGJnhmIoIsbFpPH3u1SuCdz7T6x5u/v8Q/3nwCfdd3
b26qVbXWT+98UeF7dVd3d+Vaa/ju9/99rfitawBX849JV/F2vJrjPfTgdv7+dkflQGf3l7vs7Wy8
VJ9u7q/tb9so+Pe/dv4ArvbOn2wAZffW/KeXtrHwH3ACl3/VrMuVPgBMxAxLi2DCObr/AZxtwwTN
LIEkobsw2VVqvyh5lfQJINmV9/bNkWHkNMnXZbCKDwARMuOSCGZS/AARugMRzGbMYoxhbt3/Bfxk
FR7syY5m+8XJa4RPgMmOuKNDyR9xHqTrA2BEzCxJmYWZ+eBsxC5G5IzDD2Pc3EbHlkb7xcZ00ROQ
sSXs6HBxuS5vwanvPwrhM4osaQlLvIwLgmamwJJjbr5kO7b02i86pouegI4tYUeHjnn8xsnK1d0h
wlQx40RajNDHKFXuGA4ACJcSm4K96Fx2VdsvRl4lfQJMduX9VyLlPvJ/HoZPtB3/RyH0n5BY1eXq
ABbOnBGBBEUUYDr+vOD5iITQyULwykN69xAXbau0X+C+QvYE2G5L+68ELcT/P03D/4gh7707BDb4
TCBTEGE9Wje+a9zIjHBicguyrk1obGu0X2i8QvYEaGxLOzpojFyIE6y9Q3g+SKsw4wxSqx1UYD7D
FhVYPFE32+DY1Wm/8HiV9AkA2ZV3dBD5I4HAqDyAYxEzCpYBEQEZ0y4lwzkBp4LkSzHzlkL7Bcd0
0ROQsSXs6GBhZ3GtD+FT5IyMdByk2g9szDPCjswQxCOWNNm23djSaL+4mC56Ai62hB0dLm6yNEsO
gQsxM6m0JCePRO4uS0fu/Y1lmqM92Qw2tjTaLy6mi56Aiy1hR4cLVVfVIYg5ORtrQCb6GTEHZSDG
TAtDPWgbFpsK7RcVkyVPAMWmrKPDxLt4dbs+TGghJB9JlYcAAj2zFXiG+Mj3k4ecFkiZTYuxpdd+
sTFd9ARwbAk7OnTYGdQ4R0+iq8P4E4SBtKU/4zXAn2AKtBzHO7zGC3rtFyOv/YAJSHlB5NHh5SLT
b/5IvXW8PkQd2ZwhRggV5mO7wbOkVsyISSGjwQ/xyY63ea7cfjHzSvkTIPNc4tEhxlnHb64y6JHZ
f3Zr4hlnJqSxo40Zf55RY8CrIpMCNbbDje0qtV+cvEr6BJTsyjs6jCyguyc9BD1mzTjF0FaA8QNA
dgtDGCrKgsE/eCfP3dJov+iYLnoCNLaEHR0uPpYBNIr1B7AcUBCkhANzaj0A45nlIDMJ+Q4GimQ7
bN1Wab/IeIXsCdDYlnZ02FjG6zTdPzIo5LoEbrwk0NG4zZhCrCoF5pTtOJNNTfYLiMmSJ8BhU9bR
geFLFh/CfUBDEufmaAh2sQCRB4cwFO+ahw1F9guFqYInIGFD1NEB4aROvmXxXbV/w2CCyxDQ6Gw+
NwwmlNowRVCjfXAm2x5jR6X9wuI1widAY0fc0cHjNO0PYSegTR4RcBtgK54QsOU68NggLS1LiB2a
Y0Of/eJiquAJmNgQdXR4OF+Xh4gh2Izye7r8od0MQQy5jQc5G3kxDCHotq3Y0Ge/eJgqeAIeNkQd
HR7GRoNLOJNyCCPBoUkVyArocP5pykGIwBBu7KQcu0rtFxmvkj4BHrvyjg4j53D26xDkpzUDcwCN
XE/k5wtchQWvQY1t12hsKLRfbGx+1V9KnoCLTVlHh4mLVXQAfhNyUWAvgeuGLp37nxfaNCRm2BJ8
5/jdhj6/vG8PBblXHLybKngCIDZEHSEetF4fILKAJMSE4zFCkgdAPC+6wkk7eNkU1o6RuFhtaLRv
TEwVPQkVG8KODhfQ9p4GOl7Vh3AgHG49AnrK+pm1gII8GutnfCcLeabVfvHxOvETMPJM4NHh5HJ1
B0d1909iwIFuOKgLDCZ/bPzbzUzgpAyyoCJv4p12jS2N9ouP6aInYGNL2PHhIrvLbvcPCyikmhJJ
CC4fyyHPuG80YyaB9i8MXT6bXTyXGwrtGRVTJU8BxYas48PECqpk+8cE5TPJTaiQocdzJ7vNGNC7
wyiGQGM8rbSFiQ2F9oyJqZKnYGJD1tFh4uPaXx2iQRjiTzigb0GXzk8K6gAKaBSFcSD4IULdoTK2
9NovNqaLngCOLWFHh46bLF4dpN0C2rMYNIRy/hiBPosu4FiBKQVDu3NAtjTaLy6mi56Aiy1hx4eL
QEdBn9X7dyZjpxbFTJCnQ4y75BbYDQsyFwbB57YzudnWac/YeIXwKejYFnd0+PgQwAAhHdwdguqi
MykQo/SxYvK8ZAJDIGC8EJCfO4nJrlL7RcirpE+AyK68o8PIdbmC9uD9WxBKYYQD+BZh/Ww4DJyT
ZnCa0RqhsxmObmm0X3RMFz0BGlvCjg4XlxBu59lBDjPeF9aA0RCPpOhu1AFNntIyuYBDbU/V+U18
7Gi2X4S8RvgEjOyIOzqU3ATr8iC8F3T1WYhCh87DhKCXeHN4EcGIoQdibMeGbOm1X4RMFz0BH1vC
jg4dl+sU6K/gIKmLnEHlHU4Q8Mf5dLtGhFA4SsAtSsdDBlvmY0ep/aJj9yv/UvoEgOzKOzqMfKm/
HYI3H+GB4RyB/NmESzgBC1VYYe7mLxv6/PLePUDqFZXYqYIngGJD1NHh4RKOyh8gGh2ZDgb9oI8d
n89OHkHMAc08cEAW7aQrG/rsFw9TBU/Aw4aoY8RDtS7XBzhTArU1i0O/OEU/G56AZxazwELsTmqC
672p095xMVn4NGxsijs6fFyt8kP4D7AXMFXDhOath8aNZ4flgTeHtg0EScx2eLGhz35xMVXwBExs
iDo+PKyb1UHGuoGDsAiHmX+PlfhniIBuDQzzd0y509t1tanRnjExWfQUVGwKOzpcvItrWBBwgMgC
yApqcZhl+lhhg3Rjq3ccOjSgvQtq9XTnyOqWRvvFxXTRE3CxJezocHGzui1hEmR6kHUMYsY4jMg2
YZb+/c8zbIx9HOM/cPhg/NllMXZ12y9Knn31X4qfgJRnAo8QLembs2xV1Ifq4ID+DZOYj8ToCy6G
SGg4l/Jl0gsOQ2wr98sb+uoMdjwp8Ar5kwCzK/EoEaPg1NKqvDsMEQaHGWHyH8wNfazh74IGBosS
CFRh9NN2oDrezWeK7R8wr/uIiZh5JvQoYbOA0txtoG+zpxv3Itv0yg1BHE7FIsThZOODS3qhsA/m
B0r/9AW8/NDoMY7aP1xe9QkT0bIr8yjBclEH+s31t0Dnh6DPGGS7xIL0BrDzGKjsBrnQZYZgoOAL
qHmu2v5x88rPmIic51KPETswSU6tym+rgxTyzBmYk7Hp9CcNiEC8WlJACyIMr73/eTJ2P/aSPVNv
7+h53SdMw84zmUeKHDs+DG6gfQjmxsFBukc/9aybGc/Ah2HgW3bSaohr4NpvqnUIvEyWPxktmxKP
FStlPRyAgYEzMhxamNHTYYhnUIEuVqjtIOg1esm42H9rdRCkTBQ/HSh/C/yvwMmvd+5tfe1xJeIf
T/fohWj3teswIfWBMccW+J6Xw5bR+WAYng214pecz9/7Q6ZvwHxYLPpsAeYvRG1dgYcL8OtL9l+3
yvLGX+nRJu973SmcboDVcrA1g/6syk9msFIDCYhdn1D1GFZsarTnp36y6Bdu/NYfjctiN4X9Vzzt
W9/gP6w4vRnHnx9i1DV0f1BCYMHp42P9zCNAZXc8+fCsVrOl0Z5xsfllfyl66xL+ZP3tprCjw8XH
GoLKQ/Qkw8gOisaTTj/3B0SOYSUDFm2zaWxLo1/evFezqtNFT8DFlrAjxAXsV0kOssoUDk8KoEnB
IrwcKUAVD7pRMRbkGTK2dNo3NqYLn4SOLXH/N/j4+S7AH5vNnVW1mt/vRN/YqP3rV59Wce+89fEh
fiGU/NG2cXr3+1to8qBwyA24qx/r1kdBWybgwTU8mYXtd60hvvn97cN6dYgl4cA+ZZiBi3n7pl3/
eAnYM1i7bWIMzklAqS+FKds+LG2XMzp6KlgYByPG4DgExCo6q+9fgkWZsIMbIGlxTIFFIT/21r/L
4t7L0h9X5fH3N2mdvMuCtNK/v4X+6Ldv8oe/N+rLEIMhmOAW2Vhhgna4cUxmfrv6MM4jgovwj4ak
pCoM2V/DmF29QEaczrWJdKQiKtziXKCwY6pomGHYzE3zy7atb1DClkxEjdLlUKvAR+yiS7tCNSFJ
Va3NM6g9IDvuqV4QXMkrK2uzk64p8vfELHNlmZVxnvQeW+ow+ywHHNoGQ7dpYSKF/eF9EmSRctss
doy8iRX1+PUg4sZOswYpL+eRHWTtoLDwqKoDL7XThLyPqBGfNklbO4nL5qj02YnBu04x6upTHNWp
UNJKmR3k0QcTi3UbFTdZE1zkSVs6JbKM07AzujNPxrE9VDK/RrX1FQKKD7IAKS6OLoEIbR2T1I7u
0thxW3mJTLg0lMSq85r3KBr+TOr8kwyL88DXX5FBl2GegLJDS+xUhBcm6ztVt+xyyMXdIOPI7vuo
sAVpznueZbYbt4Vt1FWifKtbSOLeRj7Viols4WZ6zo3iMiX55zBICsVp7tqBn5TzlvXfhoBc4aCE
X0T+IfC92EYhLcQ7TYXRL4067VXuw+e5qG3soswcgct5mWdLwrsFku2SoOq8xnKBy2E9CBHMGW/O
046VNi+5UFr3vkprndtmEiZ2Kdr8RHoyUy0x/8rr+LI2qOcUZj5vOsIc3a9dbs0JySubuN6q79Pv
Nfcyh0csdSpzyBYYVfGliMk7t+wtxa0CneRh/t4vh5UotKtwZXi2H2eWXZqaqdTKThtS/RmG2fsa
JUhZVt4qEYeLoViwOCltn6bLGlvvu9b7q0pzqapEn3tlFTuNkTRzYQFchWauCiKvcng/oBMep8E8
S7SpMs+t5kEh/8zd8F2UeIVdaOvcbUXp9IXunIoFK9QPnl012Yp3tLR1ZwSONtzhxK0y02mrKJrn
nhmohNRIITzkTmd6pvIq74a7HDCVUXJCkuSycrPOrtNIKrcbDBUU3FfUNM9jo31vYf9Lyqmr0i4R
c6ati8QiJzCTsrIbT153qdZObBBmcx+fIg9pZeW4Uqx1fRXG3XXWGadlVpWqb6PbOqz/ChP6Le/b
d6FZdw72kjUYqauSeIkqW3HVtAzNQyFK5eq0uZC9fkdzeheaQa507p/QuP/WhvKqI+lNkMahnbDh
S1xUSGmDeQvBwnCRe2WtKtf6orPiPfH8WIVhtA6Hpjjpibsc6pbbJDYspU0dK+kFN5nvtfBQB/Hc
yKO/0jb7C5d+r6zGXJUo/JpadQK3P6tUnrm5CjJ6WWfiz7A0zrHXnAmZoDnq2Nzy8zM3Y6FdZ7Xd
wPh4FUrjS1X0Sx5mF1mZxKrlulW+xz9XA6lU5FF50uRcOjqRyUmLAXiFluY1iTJhOAUbgrt7b/Do
rrbM7W2W92Xg+dWD9f3x678/Zgn8+6/xPX//4b+2fluuszEF1bt/aes9IPfxc0c3tPXLM7/4E8/3
Ya3ruPrJi69yi6OX+Llb3Fyi8tw5ju/dcI5s5Pmp/OEBfzhHMjOhXR/WgcPQVQ4Lzf52jjCJFUEu
J2HPCPgrKFz+7RyhlIkFg12a1jj3ncMEnKevu3W3vHX2knNEEAHsOEfJ77eSC9hdPvrpbecoEz7I
tGHNddwExHftssjQWdxh8ywdsjC0Qyv51IceUbwzLkRKqBOypFFtaDl+aoA3q8KPnVedR6K7aVB3
0bs4BEtsSXADYlBDMJzJoPqzTforntBTFliKxm6mCqGv8647s/LasrukOA2GuFWJ1qp1PTAcXHbL
ktLvVHiV3eoiVSiIejsPKJmXkVGoQZiLOgyFbcaoVlL7X3oLbISOzX4uqz5xUJl/NK26VmZtEJtF
nk3zAdl9WynTKxq7TN2/Yomdili9XYLZYUH7zaojFbpF4jDMb4uQB3ZjBZ+togM7xK1T2gm7LgKu
jIx8tjxzKXg+2G5LF74oDUV1ckKshjlNJk50lyRObzalCpruW5+535Kqu0aZXygWVV8CJAM7MaNl
FHWnwvfSBe5GP90YmRJefueB63U6nH7OwQIo6jfUcetqbblkuNJRvwpy5p7XLOB2yQj4U8+aG6nA
H4jmpWNmrm8HsJVEZbqTy7aNzjErmi9CNiVEFBCiLbKwsQeTB3PT5dkCIhkIZ1g3zIXvQwgih0zV
JNWXPRKdEyVNuRBZkDtubPR2BWhWpY78uRFk5bxHgTtPkQ7OA5TFSyHb6oawZvizHRrfyVDsqkjH
6LK3Er4Y2ij6kpUNOQs4tz43Okk+6BIX73yLBKfgtLuLQrrUafo4OyNWAabXMM3wwm3T3J0bWXdR
l0NM1JAg91snAkM4LTOK05Sg91Em8dz32/wT6uHCL11gyL4aofS+myKu54kkRLVVX88jIew+IYXS
YV6rZqgAN2VwjjW5rPoBrno7L1rvQqfFF6S1tI2ivir9tD1x3apbcNRAkEMzueDMb5TZ5VdmRapF
kSA75GU1L7A8d13LU1EcEJXSgTpWI1NnMCPsZFgEDk96tMhq6udzEtxwmuZLHFjRZQZ5+nlUe82f
MhHi1ILMRvkGcpeGSAdbG+X3jrjGSZKHTif64Ox/xvw+x2GwB/Lnxvxx5/dzOz6+7cmOw3Bsa7TI
QLpiDBYYLPKTHQc+nXEJ1hi6oGEJ9qYdN2cSmBcOKbY0LWidB+v6lOTAST0MU9rvT2Lg+5deYcfH
FGYrxYG2ffD/0JcPi5blfU63meJ0yPCaskzrq6GPIPqtlQcRZSAStXFdXnAXGEHv5u4HMTieOhau
EYGtRTu5FI6rprBCM79CNZOfIr8wLDvhcT+cAMEEsTSt0to81dodbkISeQpG0pt/hYJ7X/IsFGel
18tzzJNc5bxk3Tu/px9onzWZY/Ue1+dNFGr6tekKS7xr3aJpFiGG2LMxm0BZkRFft2Gs8TzI84zM
szauG1sYnhuqQLvpZ3AQcs7EUCJHp7csNtsrbubxtVmjPLZxHsX9InM7ascNWJVYZ63iQZvRa9Rg
Fl00cXhdVhF4oTztbF++g62Ba6bzu7TwFq5GHzlEfGlLl8ywIK9A8C2MPJhL013IZM665NTt+8Kh
UQJxc4mduC+++8L/MOTmFSb595o2NzFEqPPWLMMvPMq0I72ovjR4Xl4VmllncSAvc5nE82EgWqWG
Qb+boU5PTNdHV2lV5POkcQsVxAabk1ZcUsg8dapbZyCicbxgIMsq5Z96bHyOiV84WeizUlWVRzgY
LOIDLNxkDhl0MIftZiCiIgscWeWn0qxo51gi9T9orzHmNYfsSXao+2zGAXhuk0CwqqMaPItR9hAC
DB8KqxJnvoHx1a8xRuAh24UYDHGDyePj0iwKsN6OSIq+LDyvE+WVniertlT4ZrgBh6sKuzpJT1ys
fMebJ0s+L+epYmfmgs7JiWtH/wHrDJ7oDT0EtCdzzqEOD4uZEIJ8GQiKzWeKdWVbe9rPrlzinfWx
39mRV7gqb02iBI/kvGhcuiiJVQbKFejS46V7huEeWVGR2D3vr6SLeiXI8LXqwFlo4iaLqsoXrhi+
cuYyCDQMX7lD91cR51yRsuhtrkPqdK1LgCYIE8X8bt5TcOA4tUN3sAtTuGpg8mSgWPWELGFOM1ZF
VQIopGk3SXoSdqaTUbNUGcrnLXgx4ka+itIAO00OyVsSagce4qu2k3RZeGGkNPU+eUBfYJpc1p1A
yhD5EkUANC4LCLJQePPrW7xtRODKQlumBceUx1MjFGbt7BgROZBW5olbXqEmCZdgCGL48ii1jcCf
sywwlVl4q19/5EhYbt/Nnc/cuZtG1/CyiTx9VXj0C3NLu6shWx80PzGT+jIrXAh6LGBueFHYLNaQ
cZppfzGUta+EwS6yQHxGgQYCSBvf3chc5EVxSTLrPXKHW+YVX5M2KJwiLfLze8X/l2CNB0N+7pPH
Pl0nWHs/ukD/ph7vT5Q8Uo/YmqGx1DkuQ4IsCUN288Mr8xmTTEgq2EgyEni8n6hHOgNSEMEY83HU
hoUkWKAnr0xgWiDMnpXgQ2HlGrCZr8muYEnoFupAJRAGmyJhmC1EADAie3x9g3oMwtDXflzRSzAv
iQ9JSFFBOlNbLDpLgqTNiY2bAYCpTJSTDjKqfripM9fx/NS7oHXIV5GfglMtbA8VX0MeY/yuxTr3
VNj0OcSvTSqvk6wazjxax8FpUfXkIwxwN9gp1ggyEimN6jpxqXsW9Raq5iSKQnwTcBmb54M3xPpW
pp7VXpY0L9n7PImXjZXGa7cpAidLgzq2a1PU4RKFAi9kIYLmA/AP1akZE22oYfCjYQ5Wrv4KqQSk
Trzw0TmppXteFkUo7TRt/bnfyQLySgiMa9QH56zqzQvXHSDyDqUrYQpx6kt45N12WELde7Cj1K/f
+YSNpNpXHnm3oWUmc9hqkti5xdZ5lawtmQEp1CSFeddWgS3AeJDCa0/TAbFFFRn119byLNUQFAR2
G9XYhqwkVFVQib+wAXmMjFr3tgus5kTTlJz6hutfGBFJTiJc8ite1N3pkOfF0mRNZpeQIagkgqCA
idxXHbSqKNm4l3BzcwfcoK1b7TqiSs5FLTMgkUt+2TM2nEZm7KuAyFiZ0l/yoABSyiORor0IYdlt
nSqeRk4u5FqYvrEUzXASY3lNw8Ba9i4kqoZOIuW5pQncEvhi33SdCLIqYBPZMsMS0pCqsyu/bK8i
2lU28sFLSUjjnBKOXMxDIyfXyIuiG6Nl9ENqWek6RGZ5lhRB+lfYmKUdBMVd2jfh/6zWQ7WEQjTy
c6v1Y27W81xifOOPXALaQyFZIECnmzAVHwzhhtECGgECbA4VOSoReKknowVbZ7nkUA6Bhi+wUAzY
oiejRaHblEF8jSwocoDFEa8xWvfedzOXGGsvBAhXBqwUgVFnoyfdsFk+GekgiBYvy6wocn5hQMoP
nCecttAJcqQZRteyJjRyfMvFUBtp62GB+x5z1VcBuxYxiq/rrDBUmwBXy1gK7GZk9E5LdHqeuDK5
6WnaXtedmV/AXsXsFkxie0aSNroxcVuem1koU7vq+NolgXmSQcizwGHJfLAuVfbVh7qRVEYjI6ds
c3iw4mVEMITAccq+NY2Fvxs0GIAGsYLaln6aqbTHsYKOSzXkVuF0JCSKIeD4A59H75Kkdj+SUPof
6tyI/RsUAlOklzHHxQAmwIcoqKRCQHSMeeoR+MAaNTVRDVTESt/pW5H1Kyg6Ne/LEosWqawkpuMO
VoOugMEP5wkLivCTEQ4sgSJTxLndjbSGakvaQ4DX9MXXqK7pqdkk1XyAcozDwdqUeX8mqrxwcMp8
BzWlZOdNTsuVC7aBqMTvcwUVKO0po2iAv+qDlNJlj3V42vtAzzjZYH4YsG74CQHm2Ml4eFuFsX+W
Wy4dLllYVKfi3pwPo2XvS5YO1PYBmO1lIuM+NZb/P8Yxm881cLC/LJ3+3fz2/F0blgAqnCYMlCQw
qQMeub9NAQEjAVEKgmn5QM0Cmn6YAhM6O/E41QOyEilhrfAGOzzGLyAQTrsAJiF7wa8xBRg+YyNo
hiBJwoRcWNxhwbgICvZqJ1CvBprlRV13V5D1ynkDNZhcZTSE8mTE2+a9ZbD+LOyaNJojBJQmlIma
T5GpoU6qZVr8tWFK3z1YoM1C7rhAZlcboMrHsM1EJlB3o7Ybhgni8TySft1ckSLFV140pK6qeWb5
dtdUmVRNa9ZfeJMbgSoTATFTEZZAQbgQ5Jvg/3l6J6sKXYMMv3ZIHONPAzMEXvYWc9e4N3C3+LXG
L6SyMEgD5u1IYPI5bN4bK9ObGgfch3vbV1e0Y57nWN0Qf2qARKKLivcZU03f4dAJuCvUwK0+UH2E
6BLI1h4DEZxVd36nNbYDI4eKYxVkDZT8fATuvwQjNfcgvX8X1fIs0dLXDnQLyj+1X5xHccu6eaAN
6zIo/SZ5eJKhXvNyzeD5beAmTA+BG2EBNuj9l974Urw3vNbIYw2EhCv/zDyIypUZEYBGntbdu7Yr
5U3u4vjzry/miLUtt4Rh6pXgVBLAIvzfqNbGxzLUeWauvfQqFQO+wpFfX6UaAhjh+n/++pO2E38I
2uGTJBr35IGzHasj25+Up2Y/FCUk/iJH5qposzJeupXoiYpyf46KOh5sinqR2SFlbfKfQLPbrgDf
kox7+kzww7CwcffjgROB8naaBBCFRmyVhDVbRfGoAxsSPbfKLFM9glu/bOOiJaqIMr6uYqlPWwmB
dWfREtm0DbMIyOg0+UTLHIo2vuj7dW40uYOMIeE2k5lZnjBqQXfDr6/euJN650bBiCkwG3C0hQCD
M/aXbN4oZNUsZcw1LnHtJqugrMBJYSOqUhPi3j71zlo/iL55QuYX3VD4Cyszu8AmuOHfKz4Mmd1D
PdOGKKBZByXldw3Lff7AdP8Uw+YOu/OUmcE5dQm2FZ7OnSjHKkUAHRSQmYVmkbtSOJX0h2VXdVQu
qqau7bIr0Psm6Rkw8L4PVRacLjUp82VsQtoWxUXyIY9Z0ikeQz2+DZPstNcVlHRZkX+ydCQct0hd
KN2GYaCCioatcoHLu2pzQ18XxkDnnodlqIzBTRObNH5ywqwq/kBC753Xp7RTcc2Lq8otPlYkMcYS
AoELGfQEbINZD4NCLXRcxD4TX1xUm2e+JfDF4HWNtFvkm4kNT1dwaogSwoy2F4ODoVDiDGF3m+ui
uqmRAWX5Nqk4cJtFfWq6hHwsfNxGS5cbOFCQ27nf4KgKZKdBWhhf64QnTp5rchplaX6KCxnfBU1u
wXNPk+gmkG7HVVOY3lnplrXdw3VYAgMurwsIBOdmWxYLjDvczGPGsWc3rScKu4Ga4zzRtHTqXF77
ruEhB+OsOgFXQ1o7RaGlRMXjz12C/HNSyvyG0YotaxkaZKGtBJopLKhBadSFw6KJhLcwug6tiI7b
79rLc2ZDYRwKhBC7Nd6iq8IMHo62nfdeU4tFCXUyB/Lz5CSFvwrtMyZ0jlhN0nAV6jA0bO62XPEM
CmPKrGIXUnEjTZalFc09s+7R+5Zi0wl0icamALOoFrRqpV52lHcXVjQMsfu+bosqSVQfQFRV3vmu
T8jwRbdGxxNfyRJMeXZL+iSsaAnpXF3n6KqKqiTqoHBaDMtG1pV7mpQBdCyEJM5uEDfoadhTWkMp
UkJxrS8QZIKDDxUjJ4W6k29XcdQWwEO2HrLLuMLutV9As1V2EvW8haC1i2V1YemKAqJaN8O6tWvw
hQvL8EP3uoEUw/LsQuQCAEcjnSzSOCiligtwXu68awLLNlw4f8BU76LUhFTWTRJgzOvWXbQxj5O5
diEqWLDUSwZbDAwsZkois7YTvzRiINF6T7/TgZEk88wLxHejbniAHJSRahkA4SCumOF67llKecWh
ASLtdDH0JxoGc5c+dKH4PJm7uoHOGFnqNFj0sZX0J1CrS3KbkT4ObN6xPl6WQREYNtxW8peRJwN2
IN+JEgf+h4zrOESGhkueQi6cQL/EKS1lFc8jv7I+DHVF6SKEMi8+91tfc0jVfeJXS7ds8vQGnDE9
C72BRIs6Bw3mWRV7UDvF3SBtEfY5RNGiB2gb8KiUjotxfVZSxmLHc6lXOzxt4HYGXEN8kg4hHdZx
RKXlCFAgcSAx8ItTjCD78QIeWTawNgV1gixwnaF2I6aMtszlu9BtQ9OmkF8MULMIB+McubG5wLnr
MVBX8nyOe3/ITv3g/7F3Zjt249jSfiI1RGqiLo+0tcecM52280ZIO21SEymJFEXp6f+Q3fZxuboa
KOD8Fw20CyiUy965J4lcK9YXQTLzoklDMWfb38tIWqHHmqCFDrmbK2/NjKu8lxEH0y4AdnAfgbZa
ZbVWGbOhFzwt7Uynm7hPF7WT6WCuo0liS+I6afCAtAvwaZWVIPLjSlopzsPStW6vZxAnF4IG7yms
IehEruzKjBFcvPtJuiQodAxCIOsmUne7NhganbO5LCpSDR/beUZlUfPaPmI2Mn/qRxEcbTLzsmAN
5L1MshI/J2pV7fZytORmdX0Q3msTkSfAVfgbc+xplhuyJK6wtKur4+gohUyUcE1vKy9Jn6U/bBdn
XQ/6kLRa6Du3hJB0/GHGdyNmiRemNBbdC3aw9DlgPq7uDqvkCMIsdepkdFrSu3qcmuaBMpmGJxfW
83RtnNmKT7G4u6jxYodxVYenVmqFfuNoZ1Zo7Mn25reXPmN9wuvqO3ITomMO76chwkclGtWsedpY
3Dp9y5vqXo4JbvlxQlXA8WdYU6mR4nYg4TLKLOiFj697Ht103Xmi11nlT4PbO6TBBcViB7otGriZ
crwjLCAuJVudbGT3XNIgPTNbVSxjAkJl7hYev84ywMtwY708BMb54M1Q5tYX1cumfmTYLQ5a+uRm
SPnwMfTR2GYiFBU9K8bT6VIKxe1uGZNhRoG7BIee4mPN/WRYPjdtE925SfvqOPiLbd7Pccf1sSu9
7usCdBBrSDW0Yoc+gAVFRReh933cpe8xDu/20E455hMhlrllnMVDpYy+pF1TR7uIgv7CsrfRD1bQ
9HmsPcuLlkrcJqtXBukplIoMXzosyOiyCS6pYt5W7KKOPHyizq62wCYzDxcyTjTOyxRjT+y0AeDM
ZBzqlzG16ZO3oEw/r6kZyZvRctFZh8mxPVUzkMPCdeA883DmMT/1+Frm3GvSeL8qa821W5L2sbYY
J7BEYwDhbHRc5xhfTuMTvR76tlHqWsYuvPKMH6pCDLKzF77MvchZpDvxhEpEv/mpxDKCpVPbrBFQ
IbN0tmzALrAMjy0fSPWBqDVgNltRgS3vehN4KX6YLsdCJF7Dz17Zz58E9z2bt4mOm1OFgfa927C/
wzgNuiqqdcJFWlFTB3euadfopov7ts2G3vrxdUhE6PIF1Y0uZtHjW5uZrHg2rkmHtUPrtiAucOPO
tpSNh5UNuPqb0PFkt5SLr/Oy1/HwHoQnearFiGsNOx0gxZZ3+k6mkmCBpX1a71kn4jlz00fKppmR
rGls8i6icpjBf3ATXodly+zDUOoURArHFV2AFcK3icZhcVdVYBp1lYy9CO6o89v4VGImh/flnMev
m9Hr512nS6wZqMYmc922JV7/mDZ8rwVrxG52vn9ahhD3/QKaq8owk02uv5XO/9eznuvq86i0+mp+
p+n+o5G7Ldf4l07jTyT6/7QACN9ef9VSNkn2+8N+6CkU0VKQKxDzgfMlw+BXaRVndwSQT0M/CKgP
9Bxtyw9pFTYIIBMY94JrCCHF4I9+SKtIbY8gqOI0IUiyIQChv6en/Kl3TiDYQN/F8USA0dNNFP61
N2KOD+nExHRbV6Y/szYNr0fpLky2mDpO43MMZGyoTXOUKmnXL0LpwbuflgU13ooxB3HtfSp6mZlm
uTc8PCvdqf3Q6ioj6wJdoCHeoWotJqi92PPGihOKTz/nfYkJwqy5yFM7yH2X9O30uPD+YyoWlXlx
gnoBFUCd9xRsu3Xeeo4AQYAHXDbMaGqbHVBX72hAIPEUKFK1QUkLUWiOSJOe2g1Z6jd4iW4YE/sO
ND323wgntsFO/YY92dHzd8mGQqkNimo3PIrGKZYLEFPNN3SKkzzaYKoIVBXb8Cq7gVa2XV3mbfCV
3jCscdY3ZAOzDAitETPuBcSW8JcdBcHlh/wyb0iX2eCuCkthBgA4nyc9FRLfMOYpninwZPwrCPz4
ZVlrW+6HaBAZeiKUq0KTYzpOD6IJHlnty+nUx8Iz9xWRwxFdTS4HER+HaNHyMTZ+OmZiKhObBUkZ
HgIy2zrDdP9rU07zaTvI5gAUutmtnbxban0Th/1ZtuJm8OmFGW+v9Hz2uhiCLZaaDXOs1zyq+rdZ
0ofKpB//vywx/4G8LmSUvx7M/E/bV/LL72tHhFEB/t/rd6/KhnGFNECiyxZ4iTXiFy0W500CsMKv
74orFqofawdDECJ+4VCYbQKzeVV+rh0MR2VjvJMgBDHFcelQcP8G4QWW6zddBXAXSDK8QBj1Qihv
eKZf1w4+JnNdB6y99cjwkVcGJdXUfiJLdGpJJ7Mak1M9TkWCOYNvAVoGHLg7OA/WoQydQdh22/xx
4l4+JhPd88jf+yp4nCtLC5ZshDlfrnxT7mJPoTch5rlitM9b0l6JaGhz643HttGvXex4NpHwDeMZ
nfdex3MeuYtj9g2DVpg9GtyIWIWLeLFRRha5Fv7ktbuxw1wSu7fJkymd8nDx49woueylWu4o5qU7
ytvL5KIgw/79AfNMB4xreVN+fIZM1+8GJ/uMWxh3OthiIgHpSibp3ZqS97ZcMRJnVQOtxpuzNjH4
bVxX+cp7TEs6XmZJeQq42cOGUmYDCpuMzu55FfzaJPLSl/1F4D1laqlGGBzow1w1O8sBazWSXpeE
PpVLa7AOgdxH9iGEWG2h9TQey8IwOHbBUuUl69+DgfPy2F/4xPMIQ3T+aGjdv6CbeF7WcL6YDXsO
DAZMZIZkMIwvMNacKtkcun6OMVyKVBbOWJOnAAyQKNm14PQ5GPTmA5pvPejNRdNM645GKy/WFNU6
H1Pv4KnpIfDEWwS2+oDOJSfoRy4qfjXuFU3bPuzjV70E6jCN/qGdNIc3Zu7Uc0qEfMTErm++VHx9
mx1wtQCcQDL1KsmaUTD2OpL6psT1ffKN9I/OUHVLxzK9DbtSn5e0zMMUK+ucxEczLnXmC7/KRZgu
N0G9olCqVDcfoPm8n+W8S6pOXAdOfUEdSI++4inmazET63cV8v+6lPoPXOewLP31OoeZ0ytOv3rV
/2KpwwN/LHXb+bmbSRxVTeDjXyhDfkygt+DWNALM+s2UBzffr0tdtCV6+tB1/2nL+7nU4VQjUCU4
15lB9d1qqL+z1GFg9aelDrNvkDkx6jIKWuy3MklyZm1rmbr1/ZYfe14eBMedNgbzZUrsgr2c6is3
UXUI/DU4pG66k3UIVV52n0awirAt6WO7iKhIg3HJ+RwHWR2KIZ9EuGa1N9OdMMzDQDled97suruB
p+9FtI45+Pggd/56gbhwNUbhkakUPaUnDsPSvy8ZV/k6sOt1XHCTqMYe4Uc5864e0NVE55VVXcbD
5Dqm4Tseof4wFbtP56TZybG6N/74SgGWoYfjz7aL+myG1g91K7F5Y9frWCbvXQkRBH6SD2mr3sfO
XtKGXM1J++RFcFbBlpaj330nRwBrHoFuWc6XBLNeKes94d5HWrmcg1c1/pBgP+iv+kR9oCy+CURX
ZyJyB+siCXNZ+GpaBsjUAVHxEnjD4lVkKDDbXTC6GMLesBSMyamw1i6QrrvbcXYQXXhwVIJWmZun
m3kDafk6kwMcDfs6Hh5cY2tgTsAVPbreBWX8mZr+qZmWPZq2Dp4oeefCeL+I7lRBA4HPQ9/FU/JO
DCUv+nD5EFdYmqs56nfIL2ly+NfUPqgWvZM0OZhxvR+dTPZEtGdH2i9ihVGQGfouFiNBz0/LPFbp
bW0TetOWydEx/jjchOIUT1iYZnaJF3haAMDuq8RipR3Q35q1LkxgLPpd9kHEwPanQdKsVdUB+6rM
mk59bpJY7WqD1Y0OZN8ydK8+LxazHCvAMxtU+Wkcgy8ITP4yK58f+RDebJ0/HKEc0xrbFfXShs9B
1EDkXBjcNGUFj9Fw7qL41EYEcprYj4w3ewKltVicoznl8XJg39ZhGU2mmK13X/XzW7o285hHPqp1
fxwO6xBqFO/DOfQGCkAUtsVYiUxRUNGSJWwXhuxIPS4PanSv0ACf4NLYwXdR+FtngEsX11H6XgUW
8//B2MchJENRpdwVTTKh80Cfm5N1IoVpexhRovYhtZhl0jLIMKk6yTS+Kq0mAKTGetfyGvdFArcF
q3uyDwZFsV/G/t5rA1g2ISZcFirvAb5+Dvgc3puye2AjXLHb3OrUw0GXCTNDLFmnQoeqzbi/3iqF
O6XuYFKFYeKuTKIr0fn+rvfrMItrfIAyfjGGnLW6r8Kwz8aR3THWlScXqxsHz2lmQZikVL3BoNdn
w1K/dmHXF0mjm53nPCBYK66PORowyRwivhOrdwiWvF5fKA/e7HhV1yfQ4kWlgOgOJS4D25Wvy6bk
0WW4LteGwObhPbo+PEoiPLRr4tnjzZdmwi1DpcK13Ud7naII84CNp4AGoYi0T5gQfU2tmnPucN0F
bXIIleRFiMEY2HJwIJYP8sqjLromsnvy4Iu9cRaKK2YidZGka7lzq/XyqSxVzkdfQbG013ZsYGhN
ZJ21afUoRlzNUcjJaWxrAbsPvnHosJhmLus9/IcxekfQxLqza94v3kMA/8DO3xy4YgXv7NkYc5im
Kfd2MfVODSY8wiHkbCjAFOJnTcFw34XBpVX60S/9pzKq1I5Qey6BbRbBuroq02oca/i9yPihSSM9
F7GWcZ3rqb5Mk0XHY2zQ0X01lxL9b6VhVOIivPpv7wMFBF0MNum/rgkwwTD/qvXBg37WAwT9DRKj
kPMPjwuNgZ39rAcAm2ClBXoG+OwPGO12yjKOGsIE9X/9iz9kExwbgJkqtI4oCnBWFQjbv9H6oPT4
vR7YRv8xoJatyAgxFv9j62N7pzFKEsGtdqGfr86e5iUEG1UHAarHYQ/j8ZSNZnmfUMgKmoefwWxd
mXRpdtGmFtcOnbkZxcVgdc6kL6+92h8zBgZ157S9cWOsd2E6qlyp6dOSyo+iwvLetQ9NWB/kYs40
oA9Dj/WvHha4DSGTQLOgV7LDMIZ7yTvdAPxs085Axy3fwTn5PsKQKoPa7/LYdbcRD27JHBfpoM5J
O5yaaA1OqwWHPjWU5Va4A4AWWDP6r5BuHqaZR2eJugeW3E+sWuBvXJ8dxJ4MjCrNAgyEkDHQyd3m
kfcdmrekF88zmV4a3Ji5aMSRTkpmPcyAgMUwWTTWSCQDBDdNN5zbJgwAoI1fBytI5jxl8rVlt1U3
9vnMh9s6sv3ZdQbia1VyuNWQVtCIkeepz8sbHSt/h2HfCnNxuH5l1DY3Nkw+rxU+3L7sxD2FtJsJ
PX4RkEeua9WeotSDtEr75SCkZre6ciB6kxnfGkoyQLGG503nZox7pEDIAokPME3yLB6hjIcu4fc+
D8hh7WueDfBVZ50MsF7Os8qqLuCFv7T1MQgcDNdVRQ+12BCNFcBB7FC8+UphrlCSHXELup9QV3vw
1uU+nIO2GDsD14wKukIG9RUknstq6ttGkpNZ+LqrOva1XDGFrpMuLDxdBbtlWuqClMlygFOvLfxa
MHwQZIGmNKQHU2Mlr8EIH1IKWb7jI5gLDLQe0CGxw9RHooCvqD76flnuUOYG8F8E3j243zDrVrzT
wcVxVqE43jPumbwGYpgtiveFhzEZdO+mOkdazwdOxdNC9d00+bIQHlsyZfpPqoWFthIxRrNDGp77
FJ0jJxtatG4fUUXly6yj+p3ETDDTIpXHZQJHRR1XWVtKchvBi5qJfkWMAD73LBi96chm9HFiDhE9
kUzVGwxOCXSqpCws77yjb+r9FLVFWcoUQAGAgC6VY4YpcpexsIbVqp7ZbgRcnse2ju9X4u5rNz3E
c9cUmtakylva3oAqMEcMnr4auX4yxIq96cGXtmk7XlcYIuSBi3ftOMSneJnLq9hL7IGVMnyg3vRc
pcp4O99MDr0CdbDKV1P/ecarSlYPURuibjPNxHDwquWJeDPZOzhmc9+mZ9nRGEaZhYDpnqBkaiRJ
gEPBEJ0XlZTe2Qv9YxUE76yuTQ4N9akb6nNSyzuY73PPS6519FIm9DKp2H5YmvbLHJsrF3peJtE6
79g8zVcTtuNjmho41UaoFLzxryieTfTiYm34dcDAFUVWe+3PPslsmjyvDLxMVa8MSkP3phNANJix
n1S93INLvILxF4DHZgqWHVOHpiIYKloBx/CiXGbhrQUD152khoKT6CDaLwu+QjJ0t5PHH1tXvvhq
+tiHWB6Y31vEVoyXaiavronjQjcB+Ayt+J5MBMbUAJBROBa21ihcV5TxrbbXms3vYWSAnuuFd6lD
hIbqEnmCdR1/0/ioCxoEmvRGXabaP2I2I3MLp1ztq+G2Ss2CNIcaLYxLd8aNX3QZN4Bhqx3wiPgj
pNMuKpR0SAMxn1WYnOQUfcBIJjpVHVIQxvUTQBLgEsod8abbvaBAPDqy7to4uRE1VplUeTAVzXmT
wk9tFTl6Q3xc5mFX0woVbzXfI1PmCi6GIC+r9pNh6TGRwQ3h/cELhwMHJoHvNHctwe+jV8FgJNDV
9FVXyR24K1NYtZxMFwp45drcC5t7jLY97AVT3gbLRZj2vku9HanEUwtWT8TymEyt3E1d9dRW8IDA
N5bJUidZB/NkCXSnauFj0A7oJM0hT34pt0wT7GOIN9GManZXdU2b81g++FsOyn9ro++1EWqJv66N
/qd7fVPjvxBL8KifxdE38Xcj7EMclhdtQUU/iyPUTahIYkizv42UEGEE/Bqxa99DGn5FdHHIFsF5
F8ALv9dNyd+qjb4xpL9ykTjfD0GfKJC2Kg2eyd9qI9VHaxMtpb712+AJntJHqqNLF+r7xqFcmbcy
nftYlkl4rJel3nVbKV9uRb1xU5n5A2xEyYKVHeTHgx9i4RN9QrI5NAg0WQk0i60rSvGzZKJE0aKt
O6V8pFvczuO4NRmrVCwjyl17AxqQTtYoIramxHNRuQO/UxetpR7qs3m48dHF4Hi66Dqxq7yqKUJL
VAwjPi8hSdKt/9EYB7GtJYoFNqJ1lE9CMsyKtr7JH/VpQCNVMsOxSgEPScLuCyDCZwBYXtbS6KjQ
hnlbP1YO+nrdOrQ14p8gWtXZEE0IekAbJ8dTTa7I1tqJ1zHITcqPSqHQmS3I/mHrBROs4zvZumZH
V90XPVrGeYUs7sz4NqGZJKafs9THGxptedJoOBfYeLNFFt56NaEXdSF7idCbqq1JTReskyn61pGP
uI3RyIaWAaV25Bbu263JnQqC7KXcBInODOf6lGxNMbCqB7q1ySn6ZYe+WUsGqmJrpSsiyJ5u7bVO
LBrtGNJ/XypTtFsbXjYzyUafXVF06MsES2UEs0LNJAQaDSVka+eHABwo0xguxikAPRg2h4JvAgA3
PhZFaALcU3WG1IfD4Ndn3SRPYbq+kk1K6JYmM5CJaytgNaCiyeBNEFkP9WH2Lc1j6BEBwXtZoVCk
QVfnTUmkf9eHRj4idAtPPGrI5+p2DcfPyLpSJ2q9O1zgr6mqVDaiDjyLhnwYB3s9otbceagkdtUc
fIHu9MUmy7LXxqGX16w8gvX61OEWRblNRd5gAolOcnqMKNeXjvlnW9cf+zW9rAPBbE2Jg5q9q2GB
hUL7kIIMh6lYNeWcIQXkxtQrbh/7JHj5aRAJO8oAdF3tdY/lGsD8Raf3Q5CcNiffkUXqjAlfi7FB
3O2ZlqeYR+9G4Yszyu04a+r1ET9zvkK6mAVso1Rh4DLNv4FVdgQhR9Lty3MQG/y4jHekDN9rVUOG
XBFcorWUZ00nlzsPG7pYqgFbb4ti3Wn1gfslP0ohxrs6jlB4BfC2wOqyZ1P3DNNxjWAmAZalRplH
VYUvqJdF2dbQVaoG5r7F0JOuNqWojsVupNPJX5l/Gpg4JaRsDzFeSzbEwZJhWTQZA4+B+mfN1AA/
uhmOtRfvagWJoq4N5satR3CnhSYHd+WyJRQJzO1wGocE5Bz+A5voXY1gF6XtO+LqSzROZxXAIx2O
jzaBjLjq7gAbXpPJrlwz2ZAb66Z3lYJYCSX3rgun+4bPz6xx17pbP+gSeE8D7j/rVP0MNvYcOv+4
aP1kWOxnwySRUaVUkKWtu2r0UCT+qPbdAsmTju66HIP7Ri5t4WZSJLQ/0wluvEVPX8OofKk4uQWA
fANe+g4hMJhpWf2pLCP47Zr1QytQU4cDYwXgsBfdJehsoJJlhvZPSoQX5/WqsC2uGgDyS/MMH2d0
rMJYQqneJBGhgHZuIsl/t/BvWzjFlvbXW/h2rOOfN/DtMT83cEgYiJkA75Ug7HJjOP53A6f/wMQM
8rePqAsMVf8w2GVgNIB+YBSxBS3hUT/UDaQzbVEfSRD803f8t3bwzdT3B2Ae+YTIOQi/BblTnP8O
/OTXwe446A42U7reAq5GLhg1aIhTePb7aHlH6uFQCvY5nMmwK/vpkz/h8twmsL4LLwh7a3dD470D
1bHzo+U6WmENjky3p2VrMp9Xt3HV7peS3WGQAiMJmSiSbfxD49LrOYCtvVMHkHrHqaa3IB3CjMVr
k48cu7qJ58c4UtPeBOSLF8sLypAeU4qQXydxs0VfNEA5h6hYqEFGoOcfuqA6+RHC0HrKnpM+uNO0
vY1SU2XTKG16Fdj2uYGmXboGI94ovW9r/sjBA8rIZ7slqlXGW0gLiwmhovMa2/fU49wDPM8S2cPq
QYAIMFf1YnLsvMbfc+iJSCSCxdiklY8gPt6fJ/hdC9rPSGnENH2HhJK8aiNYl9tPfKp2ZsFL760+
TAP6sFxB3nErEgITX+zV3BxHKQvEWaVIx8OiGLbkRBd1Cfy2OhMvOpdyAd87+n1eNsnVDEovT+f4
EaAdZhpsxOonMVbg6RjCBxmf5IykPLWmcRbpqD2xBEGRDRpZKdFImvJFc/ZUewxdjRccw6X84oe+
zDoQdQCcuh369DmjaIO2CCRMXUqNRqzznxaWQvJ30QnjCbcLef9ASHtExZHkIDdJzlcAngqRKKd4
BrJI/AaRXHW6ryQQmFVUSzGAE84i3nyGqwF92UBsbryVIgmSwIoUNQVcBdXB84nYeYb4ezv7aYN1
mHbXTVxim5u86Mi3imX2WHPqGRrPJETTiGF4hgNFaygqUTscR81V+chm5p1JLN5QUPQFK5v0DGdl
lZN2PCHs4wlY95j5hh5DD3GKnUEHKqaosEzu0Daqi2TjNdDur8pBVgjX+eI7+6HXS5KBHn6e6ICu
OkiD3JY9AqWYXyQaRZh0V13nh4hyrO9Xwyy0PX4wc3QtV4Zbwns2M/FBaK7HmvZ41Ty8RZd9mBjZ
R1UtMx02KksbfagTetXG2Gn81LysPQB5v3mXOuR4dVF54nSIDpDGu7wmGCeNtdL7SsjX1G8wu/fQ
QXKYhtL0Wrbp0Wx28jnx3qqyeqe8Bb5+jyPYkPpvQdU/g7veebxF24dU3lc7RoVHvI82BMw0G4a5
OWLLkOnX3MdN+GJ6e9EkeUtWfVmi/mYl4QURMAC9VHTrUApdy7E7tOCbiz6JL4Awc4jwaLmpeLCo
OLOmWl5o8tR4RbiwS19V+xQtPrSSChVK7z1VFn2Aadp7ViVeTtX4sffMQx1PZS699U5EmDnEgdkF
c7nrqrrwvPi4akhypqwHzKbAZ43NkrUivYZUfEpsA4VRIFAA3zqdEfaTOH5ouvUlja3ZGyRcxgxY
1YixhVdvQZTD1TSvp7SvPtGo95FQSnasm9Osr+pH00af0hEZN5PTCO4ckmeIZTInXYmbWIltVGSK
bsBamKVr64Apw2PxParmv5DBllPx1zsujEOT/hd77vaon3su+QcisbBxhvBrfrOk/7rnok/14XtH
t/p9O/4BU6X/AEaCP8JWEjEfNMGve+6GPoHg/L4b/83Yw233/n3PRcJQSL5FczH073/cc5GwwwHl
l+Fts/bJclpjhRhRKwJT3gL4DhBi6sFgdGRbrqk3icdlSzptwO5hDo01nZRxlcF/1xRTakIs1J1/
9OcGYt+WnDohQpVsWapQ6V7XLV21C2DQHHV8ab8lryKCtd6iWLdM1n5LZ7UMpDXbElurFKMIcFQl
zEgNcha3ZFexZbyKGPm1W+orSar3FjGwFeJg4y0XVrmdtOuhGoCE2S05tkGE7IpaWSFSFhNVJIFt
KbN0y5tNt+TZChG0aT3ex1sm7QT5E0UyvUNALlJut+Ra2CvkDhWEgrNp+Bog3hZBq1iYvaQwyxdQ
ABF266GwWyJu28lrR8P3veRop7bU3FDDzzYGABWaniD4VYHcWFk6IurEXYIVCwVFBO8EV/+k7IUg
mpdgA8YJbwcd6GKEAQuSMPYjMElI3gi+GOhhSOtA5IafYbxzhYyU44oyAyhbCfQyQXAsNDW2iWtt
2x87qG1O1U8t1Ddj5H0/+hcBVQ48N1wBUXdv8ZVOm3Dnu2qUB+MRtmdxfyZR90kirSWHH/cKwvAV
PDoS6ZKljM8soOM9cRgavNRjy2mhA8XlvbeapT90BEId9xv/A1BSJAbHtvlMowAK8zgDnJ8+I5xy
j9KU5zPDH1fT/AXjAp3XiGbMOuuOZhE3oSxZARRl2Q9GfJ097Ig1Wz4ivebJrO6eWPICJ+fZV+vH
yiJZJY50UCQ8fKuoO88+X15aMTQZsGJ4JwMQJha+vchHnxaN9zAwHJOReVdwFD4tFd4W+F+ILpzd
lk4DLBYr+p5oNwkDFbaJ08LEi39ck6+kViHsOObZGngxuj6kuxbeoIYjPCryKlj9YJrsSQS6z465
p8Rn3gxr3k7LumczlKB64Qfq6Y/IWTsq3DaIiUY9A28URHa9oh0G00fgO3BzWKKy8u6wM38YjY9g
0IBArK3fRaXgcFbRBHIImlFYNeEkOLZJk0BmUGeJcXIm4PuaBhYhVrr5qoW57bvw1WpMCVo0ws1S
30AeuPRI0czAh1wkTGoZsi9sXqOLHEWFLdjY+TA4GBCMwDScpu2rbNjHNVFF10YnJC18DJqgf1y9
GLyMYLBn0uhd4olHB20LAdMfBhFWp16kp9UNl5Kz/oJI6w8xBhKwNT96cXwSAbv1Un0v/PhLH643
XTceG4Vrc42ROtkTOe3g8XywFoI+bDGoVw9jLdIC1brMcPfEL9rqk6D19FAyi2QZ2e4xNLvERjf/
1YM3t0DkB/+2mdxip34enPnnrnJ78M8djuJ0SMQwIKQBdudkax1/ysIB4nsTVPMx4lowucY29mOH
g9WA4twuaMM/H/Wjq0xwJGDgY9/7J3v3txi6LVjqN1UYk/I4wj/4oRuQ94eeMmp9n9XluN6u5v2A
zLgJQs0ve/7d95/1axzDH7tWbOD4qVDHNiMDdmY/3F7BL3581MFxD78dwUwe2q4PHx4wj+jN2uO/
f54/vpM/P89v3bHySI9WLcJgskfxOwKFe/v3T7DZO375rP78DL8lC3AC3GvCTX9LNwNz+P/YO68d
ubFs2/5K/wAb9Obxkgxv0tsXQmlE780m+fVnUFXVlUpVSbeAc3FxgPPQBTWkzIhgkHuvvdacY95Z
zldKc8+R4NxgBFNlrx2eqn7bx5cd4mElfk8wV4SXanlFNzMUldvVB9NgkQoKxH9XfXIj8sgfIXD/
/J0uOLOfvlNurI/XXIuxQIhmuRbaKpjhyVQP/YCQTNEvRACFkO5ZPH21GLXX/NE2Y+/nb2ApwH54
AwpkxiWcAbLgZ6BFYYdKN8jWdIHqLVY8xWmyY0oXpfOmCh+953yzS2C32DcQk41eXCsZsmaBAsob
FnNFs9gs1AqGDm1XeS+crm82Wf6o5tpeBDKNNVVKlLuRlvFGS53EBq3YudgzV42JPgw9mjrgeewm
f+iY8s0X4JlXObVZCXCoNzGtjc5lDnN/TtZBT5eQ5np7yzkbVmbmNqnpDwgMVPrNuHE9a87cKan8
1LgFdFL7JqKCGTZPPCler/RHS8bPVm2n+rFNcHBLDEJFgZ9Vv0qSUzLmm6FQy7scfmGFn2VVslfr
pq8noB0X9YIRh7qvx7XtyzbigTLNnjqJ6Xg+N65jBNR54e8ap78FG2if6RGMgz4++J+RLSJ26NKO
7Xwhb7RtsJuP3YO2sXfNResqx24LiG1l+443rTVvDwhsXfrjk7RL191G3sALWSe/edr+9g1973j6
8eFChfzxltUzKAb5csuW6Q4VCRJwGv/1upZ/sRz91Z35cTn6tOChu52zKOJ1JPrFt+NbHXrwnyhX
zOAXD4Hy/SX+7SN9fAiYFX78SA5PTKM5sXoRaR5ZCiNHUFpmLg5I6rLwQvzqo/3VCqigCJQ1aKQw
gj6tgLmZjygqNRX4LXrd+YVByc8f679aAD++wKdrJxcxfvRQVS/awe+NlEOH146/5Kn+1dLx4VN8
WmWd0TFnlK/qhTMwiNl35i1w7p9/jr/akj5+jk/L48Re3eAyUS+QpdF3Ea5sXjvJ2aEb8O2F/rsP
/n9r1Fxe6PVDnMLvL7x4Hv9/xx5wzf7+5L9GiFH8BZJT5qf+qIsAZcOGxgwF/NKiLuB7/k9dhLeA
WlelHJH5Fwvt6s+6iP/P4R6I9tKH/zgvN3BnMp+1DAssjoKt859022n5f3cfLkwrlXEYI3sLUjby
RN7Ex6c3zVFajV1gnTn57MOuHopTJ9TJ9JJ8qCroBnE/b2zRtrAq8nC8L53FWFg6BVKdLomeRq29
Ac8w+VFbpJ7o+g2oeD+dQ+Q1cqHCd89Mt3SSF4rR2NUKI15NUosnG+c0asrOMzPpCRbANdrBB9GX
SnrVId67Qde1dcTIlD1AQgKYIpRj6ZwGhS3gxtXo1KTwaaq66DKgQ2deRtlkXRqF3Ub0MBlNuiZO
hNI3glwubk0YIeugcSKxakcl6C5qqY1olep5C38lFQ+p6kQoJdNyG0dJMm1VuTkBk9iL3rg2Qn1C
/FLcy3N22+vIf8qoelUXa4MZ9S+QC2Kv6ZIVkPCXaDHVN5J+NnsVt8J430exAWFFOkqD5Eu5TkW0
KPr1qqJ5NwmGkYWlrxQ9ekBAbnu5maKxNm5SW1wkCZirSYrfqKBv816nG57Eqzbnohh2d2VptO7B
29Rbwe93afanz5MGBSAV8VaeHeHX9dKTzezbOlPUdVmkBarsTnLHRN1GOMKKYWh8QL07LdLwaOYI
NMEpzEyB02KlJjRKsa7ttUq9CtQ+92Ytwu+gq9sypR5Q7VR4zjSquwlauCv18ptcOr7dtzkwFCNA
Ld9u8sL5EkblwXSsQ6vR84htZGDa7JCQgxoKTNd6DKQ3w5nXmTzusJ2dwwbBHEJQv2pmc5sXSxZB
UH3tSqlxzVikbi/lryJyRn+Yikdu6Y7DKVg/U0eeye11hVy/czu7PHdGItEeDy6hu1wZITPfMFKu
g4pcqz6D9SOPjeEh7WwXsagfGeUjYx840WG37/gGu7ZfU53Fm9HAJGPKdbmaC32XD9PFWBsPStud
meXcJh1kqVhu7/Mwul5gD+jw+40SLvFSZqeBXGiuJyu4Rcl2Ndc9j4gCbxWDbug6cTz5ShNc9oQK
TVkgkachvTa1BOFQr9LNZAQypAInw+CDETo0WvI1ZN2HbTHvy8q6SMCTrEvbEF7VF5qXDwy5al0c
GXq8YSbex72Nz7CNT2ZSUcXJ1gH7rbKRSbzCU1hjitNzX1eSL0xwxHpyugsmNY+DFMkej/rgJlNu
elGvfc0nEK9pVV73c+V1vUXDibrVshYMUFGiDUyHO1XMxVbSuTuDEDFIm8XvDEjmTW9Zj4YwblSF
b3goU9SNjbqj3an5gCSP0UB5bjI+9uRc19eiTi7i0MR0mV7n2XAOI+5tEVkocJJ0FefOpRoW9drM
8AyKSmh+3YyTWxfmLRPBgS67/DVQ9WdZy145/u5qocluHDKRCyT1XW+l+zaxHC/P8/tcdOpKdfB9
T52yic38qZz0gyGVDNeWhkyr7y19NK+0xK4sOn8yVMmoftEEbm3VwKa3CFx6oz6Z0gipMi03ZHy8
NJr6VENh3joyfZ3KsS7nfmBu00U4TxqUrFjQCheb+Ssz8nYnW91NVHRI3So528Ixm0D4pcQuRdpz
Zeo3XQ57RUBcWEMPo1bs6akmVUUAWiyfB8wwq9TQ3od5cvzCME9Jog7+EJTWNk0LB4uqDqi0r2mr
yQKFsy5epYEnWWnxaMqBMM7xaMTgh+rRt5mD+JpaX4vCxMZoY4FS4H6kMSM1zY45nmiTHxvJ5E9J
VJ1yS+ymPHjOi5F2rgSQmMZ36IILy7yqSV5Nq7AQPyfzyiiCdahr09YsmnpXVvo6xS/lR5aZrW2b
Uxvr4bwpkvq5sQ3ANRJiw2BDinB0FUmQlSCgOygRKCOdLnfWowTC1EThdWUSjba2amUHtueYWDEm
rzyxN22NHQdtsewFwzTto75/SxHsrCNoH3smW/ixKtw06RgW26go5rtZ5Hw3YpLWBnY2Vyr4XkPo
OAyOhx24F5D7ik0Pz4A4kjn7wJkPUjzn8G6qZh2kWLDyhVBt3diSZR6ZNeIU6TGP9cN0WfXRbaHO
Exuikq0RBTH8jaQGUl73atYEB+WAGzajDbZ4UkBhI1QZXSWLLrtYvSyCWfbTMh42VTUf6MUfkTr5
9BMvB9JmVlpSy7SlOU/GVnN2jOTVxu+XtQGyDMsJ8LRJBjoxA12JPa3IXxmYhNagX2Vxjx32S5lK
l1kT36SMIT34f+YqaRTTbfTqPaPVGTIsZNit06iPdX4lUmlfZPJTBabKHfr4HDg9XjRFHnxRN4FX
BimTSRr/yZiE93WUIU8KnkwVja/KowsF6yva8idDk/Aqd+eKbAtf7/LXwFCdFQCmFGxSdt+XdozG
KsZJJElXs1zJvpTFJ4V0H+RM6SFrqER09lRDGljAFOV9tFukpMHRDqZ8I8fTng61s6gA3MQoHvKp
OY8FIYXmBHSsgQ/FF7qvW+VAhtybVNlfxSj1rskJGKjbNmiTd1sa1m1fdpsWYFRb8beilO7lRIYm
d8iTCI2+hTUr/eL0yQuUGa8aCH5KGmuHO2C5a+zQa81mz+xvTVuWrycHwZlU7WGcuZ/jQG3Wqqq/
a9jNXdWwbuIk5B+zgA85stcmU1wdJzCmR2bOVG7PVGC7eARsQaXjap25n40y9/oKNUNNQ8ARD4rG
L69G0vmC5JAKM9poefeqY+IMrYDuNjYp2cqxihX3isaGB+R8Y0QKeUy2dh7T+K4Rgg50i1NZqurL
KnaO8C0cX8PC2Eu07a3EUIhHyjdIjGe6ssnKVEQO/LTCWYWffI0vArLwDBcYh+lNPtR8NLtgVkPd
SWpfTBiTtlQPzc7Sor2Ykq+RYsTrUNgXk5JsynnTQjBW7U0zFb4yHm0pvY2yIXUZ9eeebBubJBkQ
FFoUMtr8otlibYrwhZ7OUVd7Wu2BHPFl1V8Y9C48KQH5qJKH5sDjcxtOSONgnd8rlYWzjkCplmP/
VguzrYoZY+hSP7C16qowmxzlWRGbeNvo90gP0VCWMoRi0Jr7dOQja5gxB3tYl9kgTVegUp8L2Ygl
Xw/KEOunJWKgZem+RPbnjilsN1kC8+OEODtKaS1ZdFeKVBLrWC99PU97PxjKR+TO86qwB+IUplAB
zZSAqSxuhE4oZKshh0+aBz0GSpJTeElB3K0dw9lFlv4FKMnlGAOeiyzGQ1HM2J26q/XSVCdWSwyK
KyGAZzuZqAtlNja46fR81OW7ozbvHSY1TnSsG7z+WaX7Y2edhy6m02cdsSA5btEmXxRn8knNO8JU
obopqxf2Fiw4xGamhX3XxrG+73r5fYZxt5kTGbPsYG/1ob/ETgxhZeFIcpRAExMJ2g/FWyPyrQZC
xDMY36xrMg/1GtBjOhB7h/PXyEuxZd09OmTLWJPBZofBY9sPPNGJygui3fRAybduqwyUN/huMMJs
KpVq11HS57SOPT26SCuiy4zJBWW1Mxo6aY49nKW2qN2iIgPASN4wE2E9UPBPT/G5DOWzARkgK4az
rl6YDMqBX/lNI4X7QS4fgAfuuih+6qzurnJKxlGzvALhNJrWzRi2HnXvearV57iCltJKrIx5uJsn
a94lfYZMIrmLYiSCFrXgKuoqwsFy6VnPy+Ehn4eQfl1yGMGb+e0AknHK55MYJvyrpvJYDfKXMUmv
hCi+pJWNGJI4jnxynjKjBOQUPeQQRP/fnOj/B/ICaJL8/YHef8/+dS6bv/QH8oN/nOlVEjMYlaOi
+52s9OFMr2P1I12XGf/vkJM/zvQLppoJAWzrBQIrA6b/zzRfV8iVRrPOUdz8duD/R1il79tXBixo
BWCBA/gJopKuy5/6cV3QJ202F9QP2EHkND5aYeppw7T6cGUufxx4qN9EAX8OVfgkCASX2Q0DGgjE
UEq/bx3AJk1xR6Xi0jCYWNK/tvWVMfdLlAd7uBqyeKPt8ZWuvHCm/lin1Z2lNpD7kCp7AsLnKm2U
9ICuh52mJD9Yg5jvSgaavUA0j6KtKi+3I4bai60varObihf01Cq7LOWYEaBVwFSr1ZridUALhyMN
y5h9qHNSHzA0egXwON8xTKxwabEOzGEN07vzexApnPUpzy39QbKtk6P3DkuH9hjpWekBBLihcXct
5eNZkoxzF7OWywKbDGTrXeMMZxHkRC45yh1jTVb4cBh8dRma9gMHTWleA95+cOzmXQ2t5zCfnprF
lp/2FhP5Kb40muBggoNbg8rZmk7QbNqo4RtqmrvSDLexjXCM3u0BG+kLeSHpeshlcjUGkCpZOVa+
RFKPm2GMpu8/Pyt5vgQXJhe6TSbhlHEUrzgV0UfoLeUOwdmpHPPeLZXpmhiPDe2gLU58CQMkHFOh
a5yKQRF7kWrcSBOxYHnHUcxynim2VzLbeb80EdpeZ36CaN9GksL3l2zwwn+1JzoZsmmcOFQwEi7w
X9YIKxSinlQBTHFCySEiJV6nSnYJuzBZa5rYzLl+CsMgdDtF3zgD1zYSqDsl0xj8qnaeiVvYIhO+
LgvKZm1u72MTmXoIx47aJ7tpRb8jnYyFX5NfZeKx3VBM91kcG5tRm5lZoTNvo2QAude8KZn6pooM
wcSobMsM0RVEI9QTYoNR9SpHXjZapXm0tLmgD1W8zkn1GFm0kHKzvEW3QIVaW+lW9GxElvBULVjj
Q4Ooxy2G9l1HaqkgfPtSJGXYrGdb6ibPMEdODDJV1UAkVQPDURd14cuWWCu2WExnzbjPMgPhNbu5
HOBD17U3BIU7pnrrYQZLAPe8Gu452VEUh6jyZkYnixxhVGI/TdSdVulbBZdpt0AX7PoL6ptrJZXe
bYevqWaiXnI3YoYciCJtO4T2wkfMqeyk3MDWKYaj3SBmkXBGGnGK3rEd4gVZJp7MxGrRe1anMJYD
r61GFD8LwrI9Vgn8n67dCtE9QmjGMu8k3pDIkD5LNJA8slqRXqIBINVY2jF70IngjKLVPE74jYf4
zRRT7iYi0YAWKtcwZTdj2b3TJxRET2ENNKtH0axww+wivQEuKm0n02Lfk59ngxA/MvVad8qeM/1m
EC0mzX5fUXFldIWSovHUNQCEyNE7TPraSmj6dlAJI1Mi9CVzNWw0K+nWsoJNOBz050JHyDeWwg+k
BgWlqDa9UlxMpXhqSmYK8aTfQ8a3T5UEw/h2SQYNbb0JtqWaK9mvltEfxic4zBUd4YoBaY8wxU8N
2Lalwgsmc7oUxJ25+ibYjzflaZeQdvOleKhW6Q73iRsc0I70PlPA3c+X8R+GBMvLOxb7jkq4HAbF
7xfxJuiNQTJ7zpTWlyrYOXLnOuOzVP4qK/GvXkddZOVMSclw+Jak+GE+7nTsWTEo0UslPoLxd7Ps
3Ql3UOh+Mfj6fvdbNqVv15M9UCEVAofM95+nhvhh9EokX5rGoTGBS8GA0B9+fs30v/rOPn6YTy/S
R7LcqmCnLjkp3lOMroat/Gb7Nh6m05JQ5F4Ttu4iO9/enW0/c88Do8T7dhWsrpK9cLfk2h47n3/o
l2v+t7r/+ftTf5gycg10VQZRYGhoB7+x0z5c7AwcOiIsWbnEjX8OrojPPikP4R6COL1Pf3L3T8pm
9M71WmwZDeUHjpVXDGLXoMJ+mw7+d4+G/gcWklzzvy8kV9m//LLBTPmjaGa58/8oJGHswdLErqjp
7JzoZz4Uksq/ocEzngGah5zmo2jGwb9h6UjemRxRRi64qD9EMzZRblgnsGXaC8gKncs/AE3g6eRh
+bPCYzhk83tYmWRd41ni9356mMJgNCRlwEypl/dicVMN2KokSl86Am1zCawfzxWb5aOhI1V30Li7
nSVZ2KMAPbTSUOznEEAE2SQNW53+AGHG8huUfF6lqMp6Xpr2+YLVpihqvE7vS7T4zoDdAJdYgl0M
HDkJ2aMdIYCz7hwsZewqxdqcsQla2M1YEMJtgwGti8cHemELLaG6QfGMjU+Kna0ih68F9rVRkw8A
A86lzPQTpaTiyk1C0I+h4H9gPJOJeDMtfjjsCQfgRE9BpzKUpWkTYZ2ThzBbhzUo+V7gpoKi8GKS
ur3tFs9dA1p97ZTju1ma72TQJD4cgd6nD3lyRu0RSUSxr/qsBIhpf1EH2pqLv4+3SdZcfpEaWM61
wfKkyCzL+xGB4IqlZ5MqkOsMMHXYwtdhiX06iEiYMwh7y5TVuCDtyqza6EDurEZcCzMNt0Ro2ygo
kd6Qijb7CQfOVS+NF1ZE9zcGnBcD0BsWkh4zR3wZik3PZuHsJQD3skHsNLN7BuYNzVijv94D55sX
Sp8tT/d2BrXgcmyhi1bdSNs2Y0t0jpFUfZ37iP46EphVm/TQ70es9foiMs9jZmR1nDi7qp6iKy1V
7zCA470D0b9V7cidw1R7mmU6xcjSnf62N7PwjEq12s9y3oBmltJtZZQrkcjXCtgjigwb4y38K7oZ
8f3CxUKf39uuJsHi0UKmOhUyLN8oSZ6QpPIyTAIaodgYVJO8WgnXq0hwrPYcjDJzr/cFl5hs9CAZ
HyojfrO0/BhIZIAWCl1c0dAEsKT+C2NC6Ee69iSp2TPlNRjH0NpMjl7i+k0YFkLVsoivHYn+klT6
+/ViqSDKbkwsXLPp0Qws4j/oAhI7cpPPxVc5K+0ViQvMA4wJLEAKoX6QklfFlB4NFTxBNF5nUXec
BukW2Npzx3bJIcFx61461GNzlrXgbiySwyRyvq1AvQ9zVK5RE9wSO8FglitUqSFhsBV1a2o750LV
nwJL3GH9mt0szBJMlJTUxAy8tLpzLZrkHNLPpuuH39gaLoSiX2skk7l5EF81rbKDM+zpKJmW4U5v
ikMlGS/h1N0vx5WwMECeGBdRPG+1JncrGWtm2k6PRm/bmySkY5zG6JZZ5uit17RUAeczKCI6wRvi
5rFp873mDKdUI3tQnu9p/ttcj0Dzak3sqsZYAlEWmoqUXYMceam0HD5BmjXubNobWszaCoiAvQq6
sl0RoYGOx0EVrcNlS6o8AXBfeWOLF1SFqbKsuKxSCrMTfbgs0V65KlTgNf36q1DGBasgE5a5BKxJ
V9rEVKV3Xg0T7XZlmXeqqZ80vU6wXoHIIHWSSPdliWsi+qKhfKM6BV3fiKb34l5r4ds4ipFtc3Bi
pEWDh8PP45ncb/0c3iiy/mLlKLVD1T6BJw42YShJa87v14oFpaYOsS9NqvWiknuwUooMvKZZEYFL
QkEeq/qiiV6nYBiabg5uknpOvLhRbot4wO+FMP61iqSzCWN9BVYXhmf8IKLhgjn4NjfsrzMl8KqD
mAffRIY3U1dY4lpDQlPfzvlDDsgnPM1qOGF+G0rm28bBsJtbZzF3NovNk3Sa53KOHUh1g4Y1Zn4M
BmyeFu5Qs5Nqb+6bSz3OzhH+UQ0f6YifVFmMpVrR7LNZXSH4ylZ9Z1zhIz31DlN+c7GlJvhTbXyq
9E4BGi3WVQMxHJV8f6vhao0DeU/KwX0yYEJKTXthe8yPzuKEraf73BBXlUguuR+4CHhmc7yzswGj
q1tIOYNcMJLEYDs63U2B41Zh3EVaykGXx7tCddwAZ66JQ7dyGNbb/GFczLtWZnIsWwy9jgmlOV5M
voWMEXhp6om42hb4gJvFEGzhDA4Z/bISYRY2Ftsw3mEMxFWymxdLsZSSbPDNZLzYjaEpqTu8d7Hv
LGZkOuoFY3fmRHCTFeb7tAkW8/K3YuR/q7IlJO3vq7Jj2f7r/xThe/be/liXLT/6n7oM8bGO8kan
z/NJtIOexwERiHsW+w0VG3qaP0Q7+r9tzlALbR1pGp0+TnJ/1GUq9h9bQQfEMAu3D9CMf1CXfa7K
qAbRC5FQsXQMmfgvf/+huic+HmNJgZKrz1ezYbEDbvT64cOF+b/o7i2xX/DF2Gs0zL2qTVvy+1ep
wcBkxmwk565M4swvCZVd8nkm2wvgba0SjbSxktgM2os22SlshF42BweCDZJruYquspiV2Yjio5Bl
AHrYRVn++8zNlFj25BAUu5rv+iE6xYOzrXrlKM/iimSRUz2Xh7HRLuIm3MsJjrkc8LCbyLWztsgd
dzmxTvhInDdaL8Ilu4a/7OjmIa38GhNTjqTGhJ7DyZYyNeDnR4sljWi5wNwL0r42gRgtv5MAGyUO
IfDs2iW7VVcQDqTq9wRiWBsrM7RnYqZaV0KHuInlNDJXUV9X2aqc6vShpJ/G8Ax9zDZ0GHPvFI3Z
hTto9tmc2mnckP5LjwSSLz54rdLs+1mtwTXVKiE80kxcrVIKqIaUwRagCZxReTdBH6HcvqCjKZ34
/ZUPj8BNpbE/lFKxsUs99jEbopWNVGQdlh1vtUxP9/1Ym/Ylr9dqz8YUWu0Bj+5Q+uGkXZdWY4yX
kZIwfgkn5+A0prUfoDE/LRbxh8GCKWJnpCwDouj1nV1SjnqqauACtaMBe4osWueuLG30VIUOc6tH
f6JWY4SlBf0PyfTTblCN4ez0PW4orvmRqXX7pY3Cwzgx15hGW3WdmuAteicrixAfTM2DuJ6Hfp/I
AAdILnauQ+pwFzUZw7PJwXlc5QzdUt0HVORbdfxg58Zw5KsbfLOO51XTISxrKencMRvjvUkBurK6
ad50XaZ4hRPo5zYamANOpNiY2rAVemH50ai2V2GVKCtbyk+YRQBDtsD/m/hKL40dMQSAQsxsW4Kf
9kNNvmwdcdMRYXIXDqP9tZRhEdEFM8Vofi3j3jdyFMtBrdzKUr8OzY7Sr0xXjpSvU7sFeWaHbmtW
b23bvRdx8z4l032dSPQth70z5msWEHAt8wZOw2myB19zui15tscZMknYDC+y0Z/qXFpnEBk0Au2b
fnotkOGE5Sv5ZoovzEzbgCTjTRjDk2HGL9ls6pAk03aPeYckVDEfoeOB+VZPJmQ/0adPFV9f22mw
XGxrBfVmTeGx7eX5aQzaVZhzMqjl2sXiRhXUFvKOsW/iE5rkY9q/5DNeG2zf/hjPoR83AZP4QY5P
kW4yewzUqy4r2hMJC4dQHbmZkdVk9Yj/LkAZQurBweEhkuFoq07jj2h/7Eo76mP5gG/MSxmE92p4
RWT8kcRXktCcY94PV5ET7zO1WsFvjYmIG+maQrNJIvx0Pdl/C+XznErpc5kqz1Wa7+MWzndm75Ne
uYLE65Nz45dZdjL0xKuzejrMlrUlE5Mce0Q4dWpte4DGTlNBdBvZ4mext8t52tUzsBFkZG/5FFg4
nIrMn0IqNWPU0k3tVJugVaTreZLq9c9XXiSerKwfT92svEg7EYAi4OZv7U/rezQpnDfMjJlknaoL
OQOU3gC7kU5/duxyDWw4CQ1hCTQ4r+Z3parbq7pO5Vt7ZhxRjuN13yRHeSQc27Ee5LHbENDwlYSi
kLw6UFkcijjDEkJRztzT2YLeDYzWE4mNnKseSNy1uy2D7xfEgL0XJ+29akX4G5WOGlbGBZ4VnqjR
RO+UKrWwNxcbAok3KtV0BoMaAsjblOU3vZXsSec6zG22r3v1aFXl0W5VkIAA3f12irfqGBmYSWLP
DBiYRsAHoPBbfiu31/rUK14VmXs5cniutVA+Bp0CXaUZ75KYRA/H7GvuBfVCj2ne1yahv2OcnoZq
Pkek/qbC2BhkofsxdMmg4OTU2xRV+RKIh1bTCKsjmTpEhBQEX2XiAMh+y77GgahCz1ZO7RrszEWa
ZNewQEN3KIbMNwsp9rTFed2ALdJQh+czTjRc5Hc6/M2lWMPmbh1IAVx40BX+vXlNVNmiP9ooVW64
uvKU5JOfaxwBHH2Lm/WkteVb6VhHueYcEjrSW6CYM2e3GgEr9LM0y+nbV8ta1h1jy3xU5YxeN+Em
KCSeplxV8E1O6UqPwgttJtm4WGDUepXYWyRM/X3JyOUQx3VzyhDZ/qJ3/L0S/1uJYNJhRcKMos3W
nU8lQjI3Ymxwm54DUBJasm/UX6VnLs3vPx8FfiWZNQpAdJrjnC1t5ZNdgjzOwoB9G54zE0qdeRH3
8TaurhvC6zGeejGwUydZ/eIB/MQQ+/FVl8/9ocDqq7SrdE2STvJU3BiqCp6DP7ArPoY6tQeUyMTr
bOOB7OjdQJoJI0NUTlkhFh1VXHpFMz+WknWMO/CsbR6tM0coL3akW34uJ3cmrn0/TKeDlelPZkCy
oZJpZs/dVJSrfraKlV1J4FyrgUlcMU27nmi4l7JghKHPOeFfcfyK/4EplAyqiBV48hfIjzf0zk2v
Z/OG9fCOBBp1RzDEZTR1b2get2xKt23TrM0lF0s1gF/KkbRKZCqUTBTFZpp72avRo/mNWMLF4/Fa
jQr03zHtOC2E2eFMB276r3UroGxVMXMrhjRCvx3n5EGX073RIYsgYjgkZQYkV9IxozWZDKZzclBB
DRZToPoaVjw2mJRVVn4YSIbgLJWfbICvRSNWBFdwB8urtAsJUNQqv0xy260I5fabLDhVzCZDw9oq
JekedjjeRCZ6rBE4Q9+hhtY0EN6z1W2kisaT0pdfzLA+NXJ+VVd4sImgQzKyhz0luYOhATi0WREV
5a6You0YIGQcmv5cmeyRSK93TaO/27WMVZquWm3om7DSj5b4vUP+t46gbwOen93jnCg+3m0CVz60
G+625FhchmdpXR/qe+akO6bDR5utx3tVhWvslROs0sPP73V16eD++OKWphGgouLaXB7AD7e6UkU2
vl5dOlW+4RZH1avWPQrEg/RgrRkb3F1I3vFhWDEVG77wn+xMJoq7j9fBWWNg8It38/3G99tzpzHA
MYhN4Bj1eRY1ySLXFSWJzoxvKi1DsfzQ/EP/5LcV5eNrfBItzE3eS1FE4FBZv4cNk+arn1/Rv/wM
FqMXrLAaecWfvs18NGeJ7hebt3RZ02BrDGrO31ao/z2+y9x+f39832TvRfHjwX35oT8O7qryb9yY
+gLoBqXxbWryH7eNSjQR3wmUC07hTFz+PLgzhcG/6fxnovKnMkdzUOYslCz+wzyREe0/Obgr5ucd
06CrwGSG32nbur78uu8eN1IRLXXsbedCzRuOn4YyV5vmGztBk9i5V0ZE6t4zHcrmSvtGWsgX6MIM
fcFMnGNTOClizvQlpa04IeUd1C5cT7pOH4nnZVw4E/OuGLV61Q/OFSaSr0tunwfrALGqupEguIZt
jJOg3siQXW0IryyeWynOXowGpLCVlMcwEVfpAoU1u4aDiLm1ZJJpMKPAPhYeYGECUSHKokA6q+iT
YxV0jligsz2H4UkZwLhKykuSA9IG87drbOuxglhLrfCKWvEE+SIzFjay+eRAZuwW0C0t/ncaC366
IHATBxgufv/6gjVxjQCg8NRB2daQc4cFoSsWmG6qSQ2oEAC7tGL4tAVBam05P+DnOZGHTsJzApy3
WTC9KoadSAeCDStr3SwoX6UJrVUC3deG8stEavBrHfAv6W1POSTgPknQ5JcXpFKiRsoDY50v2GAw
6TuxgISdmLpMQUvhy0IfwPwCHK4W9DDOlJy6zkEsMV3lRrprSR5x4RO8Tflgu/KCMCZhmVEK+gMt
nL7gswayqChfOxUgFPxj0U3HZAEiBwsaefgGSV5wyeUCTp4WhPIIS3mGqZxLhXjk+zx0xvOcEzxJ
9hQJCrB4kz3oxJv/Yu88liO32iT6KvMCUMBcuG0BZVmGLPreIMjuJrw3F8DTzwE1klruV/wxW+0U
krpZrEJdk1/mSUns1WtAsLQ+loM6Oio6l8d1ES/bM32VZUTPQZe69Cewoe6zlj2AhqZoGzsOBhSw
LO5JB+dwsNNy2EK0LPe8L5W6FioATIqY3PsALLHrZZM2MvAoCesM5iS2FSUxmZ/1sIy0qYyY0hUN
Z3/EmWenBGgEjFR9+VwF/l0OTY67f78cPvSAh/K/qnFb/twvKyIjZmJ0TG8tnQ41uLw/jJjVnyzk
PfyI+uI/WebIv0iZzk/C4Nitarrl8r/o7HK/SJlIo/wL5pg0ItFo8N+RhyzzD/vlz9wEi52SVZbF
+bPr4McDyGCS5Cvz/IJEDyMV7/vAnG9MC3/GVbUZWO1XSZCdBCWwGxNjD9rHNsbBG/XKvsgS35X6
XaHhazC0A5bBt7Rn0NUu3mSKZWftGHLRmiP4MSnRHi+yw9d2yu4G4ABr6iW5sFnMtRZ/dJD1lTcz
/bzJp4zCGxpkUS264rk0opueYMKR8t9bDI9kanArrmYoYIAJ34lZbIxAu43G8sLTD1vOTV6kNhB7
LKyLY9a9r/fck1NNxpfeKr8x5yUmMEaAS0nBeNRLa3tzoqChs/dGkD8Y0/h9EvOJudx7FrQPckLN
S7JwW1o9YIWZAOJgXczSPmRA2ZEDzUcuK/5cdl9kZG3aocH9pikMMF3nFrcalKXyksj0jP1qUyla
gNwoYy+xYQRrjfLs0nMAlg8uv5kco4YEylxx1HfTbl8sE/2c8Momgoq7URL3y0iQwBz6o+jJ2FX1
HSmGTZ6S6rS1i226m94Yr2wDpAwT8p6N9mZoEcxB5QXc+TOWhY3Vw3J1B2kiX+bv8dQ/VgphsHzu
0xUo1PM08NbVaX+HgkHlXWrlT7XYI6tCPiBbwRy9tgmGqc4mkAGHUBN289QP9xE1BPxzvImtNvO7
unjqeRlBDcI5jRUYw5KBeswtu3E0r1Snm3rgc6DV3kZcJihXTo7KRc+4xk55I2XwDYIDJD3LehCl
dVU4UnhKZx3dHOhFb9oRYGi24LiJrgrcOzPpxJG5M9eROnkAffHVUWOah/O7PEq/4VF7Cl12Sjxg
tNvwS+2qQCNAqQQkOMox9Gxd3xiiGwnzBPg843RToTHOQDMAWm9VMexSnXqGoh+ntd723x2TTihh
LZk3u3opy3ztatVSTci7vTSgemE5S+qstHaFUg8ycQli4MYjPAW48jRPzWM9p8Qhe8cTakLuMVZo
CUCW8/O+oGegKW/UcsyOWk7thdO+xJZ95HhzhejIiSJ2iXlq80zEk0aDImjkxp0KnkxD/1IV9b0z
8MGbJIEncz4D6fwWDAp184N5dSvn2suA1Cr0Qi0I9nYKEcvkoYfQ4WxGNCwPDKMg0ZoyxJaNXHoB
ByqQprcQP6hntoC7Mt7RFfWrSJ30HKTWmlJzNMssJ7tgqdt41vM1JlIlWWkRE7ghnN9ofH7rBuuB
ZONDmmnYKZ3bVNdJZIaz8KROBhaiyNPkgEzoMnsdzd0mmgbrgHxCT7xGiBCvHLFZhZ07yKeDaIHy
VxUgNOZCvq6I7/rYnjJVOY1UA65jB/y1Os1vjEh3U9WZXmkt8RKbjupJcpCYGvpi9VreE6Yrsbyg
lwZ66GIztXg9A2Kj7HkC+fcfekbKcaLNcJUSBEGyV641kYs255EQVh4fStt+rJr63GYwnfAbfq8q
9WITNGmT0YJxmImlklDfWBpJOHVujoGmbsdC8Gnzjt/UBb90WvA0Ybh5FXlWbkqFNTiMHWKEQ0M6
ZAp3AYEUqFXTW23F5dZlaRRpvKmNXvGiSJwomb20GS0XzK4AmMaUaSa5BAFT3tatuk0a8VDNrJWl
dq+FlHOVswPnsrTfQkCllRUddH45hqkqWoPaPyrWrHmovjWQdUrFGpOHOm2D18GaX5uuvpLQpFks
U3ZI+v06Z4Fbia6/ryhW85uUz9dQSt9ZDq2SEBSD9+Z90YwmVvkyci8sdNuwjvKVLtqHKZBPqd49
N7UDWz3tn0F7qztNR0CmbihCw0wGP6YIngxoRnYmrAE5asa+aZP7wjJoYulLKOPaq0wRvJnkwv/B
IEsUiHaaCqBcoz8N1p1sD3PwIuMbERl3RB7xVFtPsLQfYyPnoym6rVWUZ70qKRLNtJZjt/VdY6HH
ZezeDjH+o1oowU4xJ85VwD7XmR3T6SsEgXx5bKvsOuDvtseM5Res6Txp98RCb6Jyoto77J8ZkkA7
r7tD3Z0Hi7m+2TOPscNbMRmxn5VuvNXrhoRkEz9D7NtmGUIycEucWkpzcidb2QxTT866G+HcI9yh
A+FhIWQPFyY8mK4DKuOzvlL7rLKcekOnr6b8Tlg+OsmiQ5kMWbHt52RpwWy6mCN2V89M4T9bMgm/
gJrnKBk6NPDFhApZvw5BN7sXzWjoP5wVyiHaTuyZXJ2zzzrOXkzTdl4a4qKKqwCbRwLeNtzk1Mjp
yDisRgcLjRuVgxsBWFdfwXD9FNsVK8TSR0cqeBdRUCdEuwDE1e/GRNvEBCV/gg2PE4dcruLnlNzp
QHaNjtfYGlrpp2P2Fcm5ABwbbXU10VHCAeYUofUSjflAHTRCs6yjda215UrX5401ICBjCIRL6mfV
O1Q3TQRXxiM7RZH6OW7si1GNAaSWHJd6pj7y9rOLU+xXjckBFpq9qeoRN461TeiS9ymbKjbFqKbe
1BARiGn9xV4uXwoqRAB+3JuAC6zMfMzd+naiRxs+bLonVbZp4ux2WAoI23IkRVA92KX4yuJ627my
IHzAI4C0etWUhllcpW2laNiytfb8qS7TebIrrI65Hi2INiNhJjxRT0deOq2bkZ4E1v0F0EgGtrHa
dT4ytCXMjLG61N/mljBmhgPfjhMWZ5oYOeS+NDQzjnZme2WurPEJe6Z0XtlaIO3q16Yebvjm7uxl
4lfT9ljNLW7oODtJja2WPsg46KgBKJ/NSnuRS2GkWdjPrT6SfSBQBgSI6BjgLChD4RPt23BRlWw/
g+sTzWkMw00l9dTvqaaMzIo9WrEe+2o4zXj8CQO+ZzRZ1mQY+NinI6PAfjctdZfFaJ1yjdm3lbMQ
0ohJENDyEQqB2OlMveebvqE8M1xqNK3Zek5knt8agTr7YecojOca3R+WAk50WyoiwEbBYChwRrYQ
IZy52bVLdWejJu82bj7PodXTrlpj6zYA8UK3bY95TZsnDqmbLFn6ZujHSqEIbN1cYhXXg44vl5k5
s3jAjXOwYjvfWlG5dzltVaT9jITg3ICdZfXvdQwagUmw6j9dx+67tyJus7e+/bNEtfzJXy5kNMou
GDz8JTrXnt+D8rSf8AFzG3NMw/wUm364kJEPwzzC/IhCuk/h6LcLGWkzXMQkzuBoECH7byQq4xP4
8psivHh+GTvyEpi2CAeoHS/9R0VYcRQjbcasvPSQlecTMGg8IHTcJvq66/Ls1o7rAfhpZp5NosL9
AmMH0rBu9Pxh0HC55lp+rPXmNZvKQ9YWV8JgmC10ju1JcOLUeiKnDOPcprHLIKlPkv0YqfJ5Torv
n8pKOehkqlOrhNkxb7RcUNMKl6wPIvLBoqcVsktOHZER3BXMKoyh0N6BpFH3xKqzkSHrGlgFkvYc
J6wOorKm8B0DYMqDnn8+9MHnF8Aaqr29fCdq2z1Yn18T4/MrE3x+fdzPxsVmKV9MlhrG/rORcfi5
nZGeRvuzsTH7bG/EZKH4bus0yS4taHJZ102o1mtuJowOMzm+91YOsjornm3CCV4Xya0zuM22ii0y
FyWtMJJlPXEyuTH68oS/rfZ0djncpfG6npnWRi44tQDIhho8Kc28x2R9HezcKzDtChLTg0LFljSB
SbGrO5W1dL9eiWe9VUrJbNNWKEPrTyTQaJ9QKrwdHJYbV7sOXKK5mq+LoD47YfWhYzrMFbnT4u4g
rXwXBjUX6OKc6+O5L5t3dWqvbkRsOrEeU3eAmmLvAi28WNEAxiyr7rMKB1yxbG/qVprttekc3xgl
LBTxnNvWSnWRIp32gJu495zc0IGEfRR4MUVGJ6/s17J0tqKacTe3pyBub7mFvpLx9e3e8bm7rgs2
/rnMLzhpWc7nc9GKXTvqz7MsT+TSV7QAnlnyvCrhRhJF5yQoz6BnbmZKv/quOyQmUWFL/cIEbOPE
3akyuvewdJL1slqGtvsgGlyQubZ1rPGI9b1b9a567oFjsIOeG0u/qyeKaWbl0YyMfZYsnzBnP6wH
+xZYvMOsyA3q765AjyuyZzuJHvGcX7tI2QSVeSQIsAGmc1aTIWMGT5WxGN8HXgSZfM2nZo/y2PnA
Xc1rsP+GtrZR4vGGHvJ92RIidKbme2PrHPPGazMx1Q7CwbyzzQaAiYzOEJxPk6nTTZypyZ5+LCgt
sV4abH2wMNAc6gt5vaPUeKR6V+yzoVWYncvKr1r32xSOZ3WECJMbR3Aad2PdWf5YxUs1q+0bdf0F
XzGPn2HhIwi2yLvTRjGCL3PDTgwAfuPk/UMqg7WhGMgdosOLy91npaVAbY1cLB73ZlxwCeCFIu0U
CHEVDXR18CFM9kc+cVC+t0mlbFvANBVJ6F0VpTQntXayqUft1CX9Ng2okocbjDOpX/N08GkthSxu
397WQTR5hWhvdIM9N5palI/4IoL0aNTKVjPkOrfqc6UzIZd1/rUSOR/GrPjQ16WfBEB44866Y8vc
l1iKfcJgBs0roCODeaTLIOmRDXTuZxEiTxJXxzzOyDZ0ipfr5Utnw/qnEYCbaj6fe804EQH8ZhnQ
+BVH3wVVgawFXQp643CFXfLUudZBMWnNUfpsk01FRR+wPJmuNkHdZAXIlQyCZAUFV68DNPa4qjdJ
Px3LWsP2ZsQXrAWPg9WD6InGh9Ci1YGwJddTzDNOeqHxQqPBmDiSgUHBHfLCc+PIXQlTkce5NLKb
iNiu9+/e/7n3L9TDv5did31Ok+S37s87//Lnft35jZ9I5KgLtv1nVfUHKVaAemfL55RhLBR2nBT/
J8WSDV8K1fACGYTm8Jv+JsXSOKui0Aoy2JbKvo3h9P/hKhWIFAtQUROouhhb/zAJ7nraAO3SlLe9
eggTQNXXst3+8Kb8han05+z5b4cLfgsSTTajNirNMMry+/7+cMGFwkiStK1uDUlCu+VhbMlkRoZe
YFRQOegvCeIxvZvL2HLOURTZLwxr9PTOoc7Fi9R81A+6VeE9Kvd1NHLwz9Z8FdZzzLemnw1vmrLb
gN04K5X91LrUHJb3ncqlc4q09Vzb1zFud8FU5zCyx00Rd5pvivqgVPJCc8d7NqVvCkWkfVXtKWR8
IdQC9ySOLiGLmaNneztqa1TK5qPp7W2VxRJPp7C3cS16vvfcETpT7uoBGAf2p0fqsmqj9fj1XkJL
3asYR1Ysxod6LL5nrYuXdWSTn/LvQUVVnJNX1L+pI26DttmAJMfyZEvfKRpc8NxQyB+o72NbHAyh
5L4mCg5c4SHQ9cdmZNCix91zmk8tC5/82lriMImm2NRJdSqiUfpubRu+GQemF5TNfROjn9mCgjRs
oqc8JJ/VtcZdJsGy4818URJjM0t7XDNKpbZU7z4SuwZTxW6ysuvytijFjS0bgfW/jtHK62RnqTBe
K6xa3pj0yF+VjiDHSsSdf37WchCzfJyrsleupkRtyvXsQeYulzInfVVqJCZdVnuXS/M56yRLl5Ie
WgWtTNVqwUUxPIbdV4ORgMuKF+dS98RYg7LhVBXMlPwGNf0oZagdGqdv/G6wt7Ntfq1iEh9yam56
W3x18OL4ThJ/ODnXwlA4s1937gPBrg8RS0+t4+9xjT6rtcku0vFhaqPjlWF+y5H0XUsSDMICfh4w
gX0Wp2yU9HTEzpIKM8gIi7aTa6GoLrfP/pY0wyNGWxpRsw7SedQskL/7cOxqv7TD3isCMisCN97A
MHJeBmWuk9zrMNjJgSDfuMNzqoI2iSfrI0F2NzWMdxEq5cYYaQBSOA6fijxrvJCdyGNdeQyn+r4Q
ZkVRnHEJMxvHa4lBWhvHL0OS8fTImhp6yfth2/MrvTUk3BmlDhy8BV3Mm6FRH9MwA+hCQfqoOOz7
YQfoS/noFOeVQl2CDGnk2YYGvnEMSNhQJmuVXAuMKd1X+HuzNUJBHSDIwfYDslA/mKGcV4x4ecrd
LH1MVcPdm/OY3FqGfKhrnXFg9T0n1RenFdbwsvqmdTX8Po4f5ELAjqWSmocmxmAkOj+zggx96alw
1+N2Qu8/5iVgH0W5Nn3iLkPfrKYyNaczYZDOjWKP3J/h03ptZpqQjKkLNSpy58YJ6TZnLK4wEkdq
47tJP0p1bkv7JXLM77E61iuWtZoYm7bJ2YaHiIGII94WMzauwkNu9q9hz9WENefaFNo6qbRriSAo
MYXSLetbSvjE/eO1pQqo1NQbVyKy2c7thA42t92GYYdHG9o3qDYZ8J7ET9suXVOZ6qU1NY5tw4EI
HFpTDWcb5n5TM3UyyPSBk5TgNIkdJmgIgaJcpq55ytFe1oHefm/puNPr8Vlpv5s9T+Jg2UwV6Gr2
AiD/hOwCiZ+AU4SirNVhsp9svM3bum50LwmR0Eyn6qpzahgveSmUexzqWE+LUEVvXw6RaSkq/PiM
oLbdVDaeg/5IejF/Sut203TyRcrsqa2VV9J7xp3am/MtG169abL6rda1fdQY38bAuSyKn5u54dLW
i0bBfMnnVulwxMriTT7nnMJzZzqFeXQfh+E7WEbFk2mf3TQQdZj7Y0QNCoB8NAG9Fjqfoowe4rhk
GGgoh35oX3qtnOGxoaoGC+ag4vXRAsze47kpa0CvZJbf9tV8UZBiHqwEtt00uXIdNhTs8S1vnwO3
7eGT2cxfCq4eddYxbYHmPmidRKanG93Iy2krCzVi8E4PSdiBNoRVZu5k5mo7bAW3ZtpdW4Foa2nb
ZFi8AkpAuyODhtnSHnA9vDTaeB+ajbUHQfKChluuRDgHP/fy/K3DbLFh/mHThfxAlZ6F7cQ2F7/M
jzd6i7kmcJe6vy0dCbfrkjgPFq8ajX2V/FM0/k/j3MV0g+1JWzQJKLWLAeaHcW6LoNgtx+lbJ1gH
6VM9bSLlH9Lt//Qjlv/+w4+gZibLZJ/J24ovJjWjq2j4Iqr7/3xU+csfwohbtTlbafpy6vrxh7RR
mo5JIeWt0TzU5XFUKD/c/+cf8eePhbfqhx+xEBN++D06JsqhJkZ5K5z7vN7MOeU38lLYb8n0Dz9p
kWx+/wD8/ictr+SHn8RIyMytjl+mZg6gFVwY9EOfQ5haD/lhzuefBcC/fd6WF/7HHwfgyBREYwya
i/6gIHVhMs5Np0nMKC8aE02bmVt0M+Uvn+/fv7YPkzf07+8ar/3725/vGcuf+fWeoXEv+OQ/2ctX
cfF8/mqC03BvcAWBDAFcFanx13sGTjfLcLGnYef6RZf8RWEk8qY5gCT4T2iCuDT+m3sG15bfPR8o
jDYobLxxFFDi69aWBunfPY5d06ljOaqXLoF95xbmlhZA5Ybe+uUwqFV3JgH5XQ9oBzZhgBO/jDVO
p+KwLM6UJ7A5x8KlPbiZ+5VwqIVqpbUdyOlnzlidmllBY1AFZoGvUHJgZObw5EhO+bMl927gbJj9
qH4VU263FCIAs+MsIMWjLJqdoKvugVhT74VV9dXiFFH21WOjicpDFompxau/ZhOowrIlHlpLuYO7
OALWLKPiDi8aSQghbhXDugksSW+QhKOTSyXwFQ3yVZYxiAm6N7sPvwY5DEN9KlRO4FW9dwoOMHWp
XLvMyW7drtFgg3Jdz4xmCddzmgtixsIh/inG7RNuE7xtjWt8a2OLsQXyXUemBbnkJdaNh650AUUl
+neIWSPdGOFjM3Akr9t9bykRlCxtF9TuNxXSM1maaJe6412hJqfW0hm7hDfJ7D4QGrNX5kzGttHV
h8pmwDXzIXSAVL0MAx8NWubbREjBa+32xSFetLjCNazSJGKFervY3PyI9HjsLhzCXDryME1guZA6
PtSlvMlapLr4ZpjKcG8k7bW3MMyOJhYNbLpgma1slYAHJ5OR+fZMxK9WFFIfhatj13O7rE13Ttnk
a4ocnYurV9M2K4ibMQHcawUGtrCFwVUPDGRnO7xT+hTTTmx+dXXYSfWkf2SlOQE8tSjZjBLdPTP4
Cr2igAoYpGbodybWhyKDRhDSzBzhkvHUzLlIpYRaDtVjFU7lR54i+7Raeegb/QwckSgk4tOqiwXu
hr6EUmYq22TkgjJo/Rerip7SNO29Butcvfjr56Utug15czP8TpAp5yc7njBGlO85Ax10JHEQhXKn
OdUHNqV1j1O+r7mXFFRle2rXGHuLiEtl5YexM9ciNABqphdh0MLAEQvFtUyeVRk8mqQZdzj+Sm5W
9mPTQRxoNf0YVDohRwdLTl3DvO1V9ZpP3UGFh1GnyTXmIA5J/VWqzbvpcurRUq31p3Y4Ow30ysaS
OEfU4mSShVyZQjkMmSG2lkoEH7hk6hfhEm3RvgK2ha/eTc+VQUhk0KpN1S5Gpg7G4jQO+xTWLYKp
epaZfI94r7nWA30rLEACpV69GEV1cgn3Ww7x8MjAmaUHXztVbuyGu7ySkUcC5VV6adITPExrb+K+
4RWT+W2puJS1jqfRSY51wEk3xkLr4fzYJlH7xUnqmzwvHrV0ftKU9o7Xl61mYa5c6Z6akdgXL9gP
54EbtJaenJqQWD+r19Y1vkydW11CsXSkjcp4wGCi7JlrNz5Vacchre9Fr3yPqvTqWIWJcZdD7UoY
YJ8Dm7+FoJ+5y5n1NQEWscRgJJnn+l2iMiB1DGF5zI3nlVLaqQcmEmuSg/uVGfCFSk1ui7LM/CDi
XjeGzA50UhWBqX7F/Jr8q+n93H21dDH8/T57XxZl/hc77fKnft1p9Z845i6ebtoaYKZwsv51p4UR
uVgoraUMCgYBB8jfzJWcxeH3CFsT1Oosf+FvOy2jKVCKArsmMfL/zm4O+PF3Oy1yG1IbTnjdQTmk
uln/g9yG7k5rIOTii24ATYVvjSxusBV+bUANDIIVVV0KQqlR4lKouU9BR41a0FAjapr2O9O+ezuX
7oq0os/shCeM7tFeUfctXaTpUkraLPWkXN0IzqKFpIb2Bc0o3LZcAW7yut7D4vboOLxQO7DPKT5t
iWNrSxNqv3SiDtOMmtTSKU8L4iwV36Y+tZNW6ZUUqqZLsyoK21U3uld36Vw10+JuSrGplSR+lIjJ
QTAQSqmpag0DyiSTl4wOVxkuFxszubYNdvIGjUjLzZtcpc8gmck5LVWwaiUWWIlAXBI3M22xQ9Hf
OG3wrXKJy9HEQgNGeofAhExUBCe5VM6GuvIq6aBtlzLaBvT+SgIQnNvmCQ/8t5BJz0pWRg1IMHsc
6bTFLMYvQsttmjqnaam91fgdAnpwQdK9tXyLN0OAcVJOUHsjndrcAh9hsBTpNk7+ONGs2/byCyd3
UuB07o5Ove0+S3hZr6jIBGcC2KYOzEuqU9i7ZLZ7SYXvNLtPiYURc1n4cHSrS9lvS+tvAdGbNRa4
Mn3AsqUYGP/kSxyZkKeX0uDa5cK21Ainafdi0issLcqfuqVpmMZhmKfhMUpD+mNE5Be0EjOA6TyN
nuI2YN9uaS7WaTAm+7+YXDqXAWJPbpeeYzaB+zCYtkTGx3Ve5oep1LUV/qzvo6huZgueU9I98+92
RQkOSQx0yZd63K6ipLuFQJwdCUw/WEfKQVj47Ny3+D75kRFEjAXbj1yj1tFuttZQR7QTNOGG/xHe
Tr2uyj5fqekwAJNp78kmbBMzfRWTtnXDHrHSMW8++wC6shR+UeR3fRLRONmmG9HNmQfReD1FjEoZ
vTteOjcnVCyi3Tk9pfpkbPWwvElNQbxvqUdwmzuRykMSgQaJmuncuLz3IrjpZjoqkNPs6SvkzuY5
KjrDj0KXzcAqC/uqV2j/BKTxQd+plVtf2ynMs60G+qMz1E0KGIry7uAjDcfvgQkmNSoz0gi1fbCL
8am1mvcu5VRUleWdHbpbJUrvcILuHULznmG5fjXa8OZt/GuZCiLU7M4a3AB+uWpd20yGjTHZld0o
1hgloeNk9uwlwEE9MnR+hz/IsKa30dJ9dr4vDq2cqjs98kEToE7Q2GPlWNTRljHdvmAqZy1920nm
Y2zdEXUlCl/QCgD1B0MzVSLds1Y3TI2nkFP5uBlyQvJGnDBurFNaJLAUjfZWcmrJq5wP5Klrku00
9hhQJXT0nmJwwKHM2P2J8H0Uuy8544RV20THoQLqOtcxDQG51a/mtNi5tXo2OvdrKwVfAuobRoDu
qQA2W00n0Sd72SwhNl1tiCdKPtulJYJeu7b52jfDJRkdv03EgxqHCGdTQ+6CAbYwi7VI0WJV+FXM
JN2Nlqr3Zh98r7Ed42vO950bOpyJhx2UqNFTanMnMI5j/BluIhxaSWwuc+LBi0R/knZxQ6UBcnia
eSJ0XjOjB7dDKH8Ji0zq1rX729ganlW92gdixEOm2mtyyax/Y6HgqyqvBqW7Xjw3F6Ey5wiTXcYC
WMXDObBmxItyVevdUuFyYL6ysmpzUZcnf55xg1oNw1ptX5aEmVuIq6zCBnDx7kYtKCwFnEbFi0Kv
nroY0TG46f0XI8agK3XT2GsYB5eu1yoM77TZOboOKKt5VmLwbJLTPdTOUkJHrMJkDQLfhURg9lvq
p26NTNmk2XSru86HgTGuyIFdWN26pZR1g92WfLnSoWxWt53tPI5xD5HVxDkx5ibSb6JnL6kRTH5Y
DR9J299Eo/qU9QXMzPIYue2wQjGmqkT39bj5MEMOzb1WnYn3Mw2ZH1NNB6g6pE+swOuWxphGCYCh
qe4rLbPPY824PY8o7+1zm7S343VadKPDW4tG8xLK8EZ0THwDMe25QdGLrgX1JHZW26ZPQ6bI1NeU
gqn93EnPGZ11psZ73Vwa52U++2MZfYOVBINxoKa4xR3vzvNFa0j1clwI4UBpm7GB9xMY9YfdDann
dukJmyTL5TQWKPrxc5not2WuX0VaUHBcitUYtV+Jfvid6h5sZbq01rifddavxtbwZpvF4zgpT9hu
HrKYKZIsDJ/JFVj+SV6GlCStmJ37uQAbnFFsfNd0kBbMzE52olChpwUDPOVcM4boH+Ke+u+FokUI
sDTGgfiZkBdUfTkj/SgEtDXDyAm29EW7z1cv5ma4hRm1yj337eHanspDvC69bhcfza30ox2EgAPj
8uQUbT/Pdf8KSeI/Dq0pd+3e/mf11ry/NX91zv1hck2IiI8H5JHgPIkkyjny13MuISKayIBRcqYl
eMkR9JdzrvkTKrAJ78hynf+jKP1yzmUSbukW+5rB8Frnr/1vFKU/hSpdkxOo7ggOuGQ4jT+cco1I
U2Q35eIc5V/m9jyOrz+c+/9qbL0M7X9QNHlQ8dXBgiIJRQ6Uo+9yzv5BQO2DVnSBOfbnfjbXul59
TJU4Z0FyNZvuA6kGpGUT+7kAjsm3f68Tt2/qZN3b1B7gJi23JVUGhd3slFZ9SPpoI9rqmwIJCRTK
sTcxxTD9kas5yi7aAN36aAxdzRAvb0uJaQQwBG+iZ+LmoKgSM3e7kqq553sffEhTPRlGHln+xDLh
C3hr36AMERSgcWYtWt2hjTZUXpKMmbGbiq8ICPmmY+32RBrVS+H4JwnyYle2ss6c5sVtQmOt6Qvv
Tgh5m4yStKJedhuN4T2hhQJie/yF+/MRNILvuvl0xHVX77Ki3BVFN/vcZx8CM9ty8CfYHxpw4oov
iirBJooRwUS5dCNHhTaf501PAiGsuns74RavVnsDAniqKrui6g8dQ3HP7Ke7MYXnMhMzDOcGnHx6
4NzyFmiDBOOXAGBS/D6N37o2wNBsC7ZoZ5eFyUWZ+eM0bIKmeW3T8ECpxS6vzaMoagq69eGUGbNv
sfQ2Vb2zpprhtODoHM/djojlbRNQ0NnO0Q0A+NeKPZRhQ3IQiniAMpQu3etYa2ZxT/E8mko7Ruve
ifcTI8iVmTBvDBJry0i5XZULjF24azQUj89iKaruhk0UFgd0cs8Vw7MoDVqezLPVMjHs5ksai2uU
E1rog3xri+EUyWZfTnIfjslzREnIKnflDo7SMdKze0uD1twl2TM1JU9aYMOl6DdlQ007aQtlbL7Q
jYbdr+NsaLSvJb+8PuXjVpnmbyk5l4koUxOYvpGOR8B5zqqvQ468U8FfCq9lJexgFVr2F74FmyRO
XsOAlpux7ZKN0vc8NvXHVCY7Z2nAM6ovfaO+Kop639qMT9Mg8YfR9VQze5/T4C7NgU9GU3hMkyal
JI2KDqHYD9GMGEZVkhfGIfmEPH93NSoEFFK1GKFt8+Qsroc4tvDuV3R+mNZ94oqXvmqhueiE17jl
8u1J5L2qJTfIyM6KWA2X2HpsVopmXkeHyFA/MUAE0YhiYhnt2s0qkjIiDrjHWOew0611TBpDtYBC
uHXgvDduR38NG1i5GioLwkneDCCP8kkJiG7HQ3wem9g61rgJOe4ioFHIx41YSVPCemXkgw1s8AYq
/8vemSzHjWTb9leuvTlk6B0Y3AmA6BnBvp3AKCaFvu/x9XeBWVRJTCVlaW+aNaoyVijICLj78XP2
XltetTPi97z1gdrTLyC8o5MPpWksBCJqqqo+tO14Xupls8PehdZBQyaiqFWzZbYSr4KoOzOVgC53
UkLamY2NP872ah6XO5SelquirQoVHmR6LlKZrhdpiZdzz1/s++WLMU93ta89i6Tasr8d41DhgFXw
C06pdOYnqoxrSjHgKBqj26ZFdl0YncRSJaHvvkvyq6HHQYMmGdAOwhSVqiLWPfr7nUez8yAqwYao
8EuL4TLvEH+U3JfYo/YBQoAUJzreHbec27M0ljahER7lVL5P8HNp6IwGGzBiPiZPeuzTjoxad7C4
yCvMB+AwRuJrOUgqJWW1RCZWQ3aTKNmwZpAL0B0XmjbDAwmtOUH/E9XH2UpOmlrSzG4uFapxN2X0
S/hB7syD4bHl7VTF71aBRnRyOvW3plTeZCpJSpnTpRRjUMSmgYwx9pxuP8hmASh+iUuMJJgnoexN
HdBh3g7VMXaGcyR0yO+nhEK/j8N+k+vZtGHrD+/9indQu/QmZ2TgAUS3991Ux4heg1POSMRNhWbt
ugT4nF6IG6Mq6B3oMTLlTEVbMem+vzaS6sb0pxsrN+aFuE/4Q0fHwOgCxRHDuG7xqW1KmcgdgHSF
m/JCp+6N7gFvBy46a4qILIuGkFMpbEnjQX2YDOVas7Kay1PxuMifc8ySo6A8brDWTGKfVNOtHMar
Hpc4PZbwtkvVG4v8OFqq9GgLKa69wk+xKHQxjjhZfuR+SYzfqFcPnUmiZVkwTExCHnR8SSUiFe1B
XTibvmqMa6uTbKQH8u+CSD6MaheiB2MuSg0beyl2ZppwPx7OapbBWwji/NSS12CMcFPM4XKom/Xn
VcDbyPeHseZ/3odmn7HgUv5aBLRizpIgRAwNToxByS270oWVZU9slzUaI5svYEq3/ViuUyvZNmpI
uKFKozo/sFOdEXAN2yC5DP3uyqzklRZ2Lhc3/EL+a9GZAJ5YAlTiJ1MOKNe+Ny5/UcD88hOC70+/
UTcY/32gThhZV0StneSnAVZiMN3IMQ2n4uzzN7E/TJmRDdJqJAhmaXYi7xMfvoemS1CyJV1/KgOc
05Kp73D60WHz0YbEfQ/0QeofpDItLnP4b5Mt75gIkVQ+lWxUGumYcYZYYO4uCZ+3r9F5u11BYpOM
qE5nIOgaKtmqRhGcIinajz6NokFl3ZgZvOoJKfiVoaTPCVmKShpEm3nA0d0oUBuRasET0l6kWl2D
h2QKp1Um/QgbF3ClMQRg3sNRtFi9TLBv6mukEzwhFrenDMdLpMdpFpDCxCRtZWWIj3IIrnoeO1qC
CoSx0IbyrETBnd8p2U01MDmyleDMyEpj3ZhluzUVwEYFR5xCm26KIfmWsnoOXguS3oxmjnbMmS8/
d/oaW/GOffHRktDqiEHZTrFOR6AOV3mZQwXDxa5Buph1So+RZeahJCOxXMq2dQteLFPGfSf3z0mk
hi9EwWxkMgZB14ZHdNjoh5pqDbYMFJo6XmWmmUJtVBxwY+OhEs1vgs6VXz4PLEjwYFhKFEilP69L
H/sllEHaTUJRnzW7yTySONKTKaHFYT99ChqytXPCVhRz9KwImDM76pFPBcVYCJdPDZojdj1nmNWj
UVgPmp6H6yYzqnUHhXJHsDU0ZWR4tEJ7ulKFnm1VDnWPgFUSgWqJeoSNSM6K3I2M6jrIsJUpIVa8
eSB1oi2XIDCSRLP5pS7MZ3sJye6VQrh1pt6a6kTtTJdKQyBqFg058YYEU3QwH2LL3A2++ocpyAQv
B7YBOyXbcrzxbfpYfe1WhXYN1ZsnhHzQSb02esDWcXhdRcZVJuyNObUPFgFtDnWjvDKrjlqw6lf0
envXMhqyGKBEyj4ZmdDAnyWeCbe0tUdFkx6UsK+QLBJxEgqZrBhc7dJYoCysNzKCf5vAPRW+IqeR
pyewsCxrOAgoK9AIyLtHLtOl7Y02lCfbGndNMT1rg/xSafVzLswVIPJjAt0x6ZPzAm2tyM31QF80
xKnnRrlwVTu6TEop2U3WDFB6Wpmp72UlBQ25RdxLWIy9ZF8CgPxGt97HySm7tNnWbYvYzWxCTyXh
EjnAmYmLLcJPQIRmkDGynHG/UaEmHZgSheRgZQCw2jqBRFhSqBPbW6zVRDpknOLhgGBeSR/7slnj
3cztHeZXZVEkpv6wJvtqldc0kzqpivHxMnllgj/TIhQ2StJBIW2mkdl0Z/osMXYNbIYXpO9tgxxo
5VCd5ZZB1dum0nlaDuV2SsVeD2Cdq0wr8OHy3TDhdgcZfWg5HKWGW0JKVLaWrQrMNa4/XJjGSkBG
HawT/U2TeF5964v+vpQl9L3y0TSQfI6+fgbBEkma7/uHToX+3xiKAn4HlOLQz15J3bAtppZJqym2
dU8VImjROoKGNNnIym+Otl/t3D+sVG25/v5wvVVDe4rtMulOhAhAnTkS6uqOfUYK13lSHxVuLJ8f
FQy4frhOw/nipPjx/T5cp1USHLhdsDMUxasi/uhH/CxnefAw6NvP32hBLv/lnXDa6aDNLMGg7kOH
aWjavorlfjzNCrkKiIGbJX/zxmiCYhcWEs/c2B/KMpIJyJIVprtAWc0YxNEcE++HJ5NvRpG+4ZK7
HHMNJr3W3UlRcV7I4jqlfOPWgzJFXRIAR2YiuI7b6ClHVSeFaXkVdGQaGmHYbtCLHgymURQWq0mR
B5cSb8McQNzbqn1dzqlHJ2Xfae0u0tQDmRk7o7TPhyQ41BzbQkoOiZqzmLCNhpY7lsp9VtarKPV3
QwkNNUUzjlrheZYnw02H4LEa7fpeDZY5RaMFv/lUf+63/Pn1/fihftDvJKYOz9a3xpM1PoXz18na
f/6t/e7f/3BwyBKuOhM+4imyrsuYzAPt9vM3+Es9xPP3wx9gfnj+MjNL5EQNppOhXkSwmPiYZJxD
n7/Jz83N908JkRUlKeQd88OjN4pmgFDAX0Hugdq+tENGTXIbjeI334b68zO+NKfweYPJ5Ki1KU2V
D280xVEOwaJUT5QxLxxq3k26Rm+06p3IvXdy535nuv3Z16vIDe/G1XO6mr6yopvt75Kk3qbJPxXI
Py/rt1/0h23E7iO7tAO2kXbdezC+V+N1t8kuw7W9ghNVr5UNn/MaZ5uDoXHFYKpf6af85fOP/c1C
8vG3+OHL/cgtZ06RWmrN5/4w7tQVeNq1fSGcc7LoQm9zb7hnppdt7FO4HrfAPbc3ZDdvxi37njNv
CttpPFpnnu1JZ9023zTnIVhgcpruCqc7MVvdGDt7Bx5mW99m6+vPf/UFQffpbvWhgpbUJkpBE/Nc
OiSLrJtXVDI3ile5gKm90ItW0Kr3xebi5WzV7YhAHt14Hzv2nugOl8NnBUrtD9+9+/y3Un9ufr4/
yN/3UPPD6YCuuq+FyW8V7mwndOctBPUbMhkSl9GS6fgOii4n3Vinaqs+0Uhbff7+v16s/11HH3Yb
thppasppPMlzsRLDcJilhOhz/DKfv8+yq/z1ufnv+3zYdTBuan0/p9OJmtrphxd53A7m10mDssr4
tlx//m6//qq/v9vHjrKUsfkbVdydQpFw87sqg8v/vzf4cOfTRis1TXRDp8Q4qDF9QFt4n7/Db74Y
8aHtLmWllYuJhVbgnEApV6oPM1E8n7/J7z6nD5tbo6SQVwjvA1PHt8JMyx7/o2/6W7ny7/6ODw9Y
V8xNlzfZdBr6EezFKUtGd84uPv87fvN0iaUk+mFvNP1AmmjOcRqM4MZsMj7S9lzTOldg2IqBf/TB
fzgM/+zvwi4qlMU7yPjw57e0SLZAr9N2J53k9RhxTkiT78/R2d++xy+/nh/e48OiScFQSFWojycj
1unfX2bZb7oKv3uDD1vinGQjnq+qP8ls2jSjE7Cwn38zb+fjZwv/w3McRgx9/JTnmLuBU7nBHtTW
kSuCu8dDvArOu99ybhey3qd7zfJX//A0KPT/0M2EnFEPNIZzdlW0qg6ol2flbN71zsUMBYSj21hl
LnPaS8m5alfLqX7xWF1oe27toROvptbZkvm0+R2G95cHuQkB4r10+fjkRPUgKz6LTjlfDnLJaTap
vssV10k2unefO3vUiIdv8lcuZ/XtdMBh95vdS122p8++lA/fO3IdM6xIDT61Xu/NHr4FFYrSIfWu
7JN5pm0671Fd+05Ox3YNSGGDd+g3O/TvfgXx4dzD6iXp+VC2J+lQOCN8Oif+w1gTSHHoXsdtucrO
xAbr0bfgUXPHTXIeePHr54/m28Xrk0/ho5smgTmhNzmPZr1Gu+DAZ1uqul3i3vS7cbeLlqLlREjZ
PSx/L1uXG3FBEpXXrUhXccKn36GqtaUw/svv89/l/hHQbEk2s6GcLaVaIfLdmKk3ruf1fBYdFOcl
2PnrxLV25Zam3tnoitsVbDu+onaTrK8jYicJQVq9fUL/ju4XbvT3Fq/3zKD+NW+jdjo9Z6//+/+u
n19q/kve/iJfcnnld30qTpClHws0RhgaetIf5vaQkgmQNN5/wqve5/bWF7KNuNKqSEHJhFwiVN/n
9tYXWQGgLEilQPL2D50g6AN+ep4WAYjgWs5vB1xHx2T14fjANZs3czEO52NqLb2iiAFFzwBiMZBm
YmzXjZQ0JAYbev8IS+5QNiP9M5nEL1zHkQuki3I9t5SrIDBX0tK7ySYaVaYcSQe5nZ8NX51pcrav
KBmblYhpb5Spfw2wzjyS6BA6U487sRz76oSRZhUH4R1wFga1ORRJ29pnhEDCA/mWjNPdEGZ7oSfn
VVp7dDS3wBSovWPALlEGqD5OlcCZJ6JVRhn2R2DTHgYA/RoLjCWm9JT00itqzMoTPnaTcQB3iP74
Dyb6CNpkiSznvvOUGjnVkAzIO21qz1DnJoKDhnlR3zp9R7O5m4q7MCsuVRNdfkHnWkw4z6uOUWVQ
b7qA5OadWWpXVWMeIUi/zjSSp/zCVMrB0+qE8ZO5xn97n1Wa4yOhD3PjpjcIdJPjb1OgLxAx9dKq
gYVYqNwxJze3hdSqztS1S/cwTNdjm2LEsJE61OZ0nQUtozXcM1v0pITiYaFYyXknnLnQZzeLSNRs
/NheQc5ssFMG2yRkFppJ7OCdhH6ChG5vVMEGxRNuWiUiBNwoJO2I4TWi50VLNMERtJ+lGhzByCRA
KuRNNzY7QyYMu9baaE2L0dh2mGmTuzxYIuvUJb0ufguyS99C7dJ+dkfNRC01RsOKRIlveO+3I1F4
Ybskr2dNK46t3zb2U23M0R/gD8mttxW0u7QHmMU1uCaFTP+4mW2cQbh21iU40WM2q9GtNVh3kOxG
PEZoFyIo3AYBIOeDHquMqzsyFSfrxs6HnZYZm5KIpE2KNGML9/lW6nw4hfKg0RJEmtwPeXCFS6BC
FK3m501ue5XMZ6lBtR7DqSDlIKIZrIvCjat0vMgnFGxWN5RY2PuvDcHLB5GoPfGC4WuphJSx+iTD
ZVNOklX4rSOD9s8kg0aj3XbbmiyprVqb6XVlVul5X4j8JlGn1isJ6XR7vbwpLOTYrUk3rJtpx2Jt
Hc08QZQgwYeAVOS0xXQ+tLbvShoaliwp7JURqcOhNRUCMCMCt9pJfh790q3C4Q4HOU51fLugysrY
C3R7ctRRl3aSZA9PSTwMTj5XvhdZbb4ZyyJ5STSj2aYdoxwmvftkgMXXz+Q8omVYprBziTwNV8rl
oCn+GUoT62j106kxhY2OVSJPu4hYmVnP8Slbo9cikDhKFqLzBtGmgzVq/vc8+tMroVAK/P15RM7Q
ax09p3/1JS6vez+NFCAnyMRkAi/fAPycBu8qMsX8oshQqjEos0p+UpEhFUMlJgMk4YX07agE308j
9QvPkWEJRrPovnAm/hMVGQ3VD6cRpxpQNhDZBg5InLkfqnIyjup8lKrpOGplqSy6XkscS4EP6ZuM
hMkA/9DKLcQBLZLFvEXWs+zU/hjjqjZ1WLpquNA6fJpDSi8mRzPVl0BuGrew/edaSa5BCWUXU5Ig
HJ5NcL8GRwb6OKSOpvkNeiUUAPQIOHSbaB12nbYSTVSvWnMQTp8pxtncNdlOytOWUjBJQAWOTFXc
OA7qU0mSFA53+4zkyeQA6yz3mnKY1rVhl0hMmJKlmVy6ma3UDgHC9knvp31iRGdW0foHtCMJQnOb
RHKyB1Anq1jvsoRc49EWIUMw0AAV3AncX6JECI5Lv7IYFcm69JiyN5bmmO9F2N0oJjoJP9MLcmPA
tASoh091bL4MOedQVQhlUxjxtzmOn8QQkY+q90rGNE34Z6UeT7d11vpeVYfchjSA82H82gaz+giK
g/Fw2oIDx+vmiSaF4ARcnsglO7cPBMUqK3OQpb1ejvKZgbxqE4Uq2ed1Z57VQlxayMGu4VPshnC6
kUpcpIWeIwq3kMybuN5sv85dYHgmAlvIMgi94ZDL6N6wkklnSohCREzYtRg7BbvSl7Xk0PrwPTdB
JgGExcpVm/V5yHfXq0kSHSdGkIYjBYof0LzjX7Jdy0bRXFp2JYECFRJc0nZSbyRUIuiD+2TeY9C0
zyMCZStY3FYB15sPwT+3/QLpcZTY33rFTs7UwvYYmhHY18MO8P6tpt/oTSpL+e93ryNOr7/uXMtr
vu9c4oulqZSpaFxxti+N2+87F75pwE2yTqgnpIDFh/1DHY37muqWvNAP+lfxthNaiCU0MPoyFuh/
QG7S7KVF8d97GXU0uyAmMwUWlIme+mMrrpnJgOqMDhmbls9nFQRs2geFBdXWk8agn2dn9hkzwoE2
w9SzWl8Ux0nOAKh1ZHk4YWvI6dHqIhkOGw5DE3FoI0+SjmQDyIm9CghcJLV3HgxqvwEKW3A/dJlU
erMcwCLCniTZ5a6hVMbBDbJ/xEgjwJiEUhGsodNB5x/ze1Xu0Gzp2rbNwZU2DTUt5lx47BGR0V0g
NWu/Qx6bq8c6NwnazGh7T/JVPkVYaZWRW6VfHpAYHfLKP1OG8Y6+8CLQgMdeltmmK3cpllkcECUB
vWYM8le00PlGMTiRRahGhw+aEnAGRGhfKNTb5GBrjtQ1zPFHEHWE+qAeyKw9Vfgf6tiOXtT1D+1o
aOhDSAWIZMOD+XGBUWJaD2ZPiFtHOej3VetqYh69pOVGTGbYvJqMGnmfrK5IcZw8sggrJsL9H5I+
HlIpQou4xN1nvvLHSJ0Djh+FjFxtkSmkKO3Ts9gicCSq6zuiTjNqPdjOHabhPupVWEHatQRGvxId
HZAEezmxI5j2/HKnY89yRr04xWpxVVWD64vygGoS6wJGhd7i2BDVChnkV30ixbtGJoDDyOnTxEtD
8j/Y3fY6LOd6gTqT46k56gJ6rtMiWVsL/FnSAAItOGiit0kYhBCtBMF9l5OHRu0XbQgMjzzJDC5G
Qdieji1Fqdr9As10Krm+DxYO9UxDegJM3QbjyhwhVcejAjYzvgry/iwyNC9ZmNbmQrf2F851uRCv
awjDrgwEW15o2FalvRYLH1tZSNkGyGxjYWeH4F5yLbkVyDgzwMlFWZ1LYVlS7uIs0t+A3JC54zS7
GwSAcu5/naw9ygu7W8QG5Xd6PSbGLl/o3qYPGjx8I37TgeZBhwJOeiIM+4UMHg7DfS6gvsdAw0fg
4QoQcb3hmA3Aiufgxbl/gLOxuAO2X8eFP95AE3E7kXB+AicvoC9zrnbXfoyhv1gI5sUU7IKFaV4B
N+9MEE1W8FQt1HNY3stVExI6FBnF1eXuto9kAlwWXnoBOJ2o+70s7Of8jagewFZXC+Waq+M6WqDr
wNclrbgY4AuiZtSudcotz4KmhvdLOgWhfoSIILkaMPcxSu/RP+WbHMx7FszjNgH83i0EeCbPtpsv
VHht4cO3bf4YL8R4MKNEQi4UeVsmxAemyiaQIcxHZrLOBpjz/kKfX9yuaOGHddpM5wqA+hosiVOA
rC9B1xegG/e4YKC5KeMrWfFXMfJPZ/GAo1uBfd/M07eh56juFy6+H6i6C+vGok0KNT9d+PnEd1wT
psejI2tYGBWp4AGI4CNPheGSkLTFP/dshoD5WzPPV6NpHzujOkKHfU3aUfPIOqCbmdCON1oB71z+
Vg/6IShg98/FYy4CdUVLcic01B3lqBxk3FRra5R60j3MK31U9V3Qoq8DZAv3TI2PCmmk0xxuphZa
rI2xu6bQSuNd2FbXflh9QwTfePlQn02Ff75oUUuLjoI2oZuWw8A82OyL7I0gBPDUr0TRDZs4Ke7z
AiubGEBQpI0Pen2oVwPJrG7UD3d2Q8J8V0is6bzkH4+Sx1FrNZbjuE5QTeGB1wpGKCoZtVN4rw6v
Qz1R2xg4fvJJP4Rm9jhOfKKKDUxjaFUyYou7mvhAV2ukO1U3XkMu/A6iV1AKmrGTmwKcgg4CVKY+
4WEoc/OmrPnCiLUDN5e2DVtEXq2rTFz0cYL41ocFEQwScc39CU3VFX8qOQfh+Zzp+trQl4S/XgI1
kYozweHuhUSmdwVspQ7JwU4fjGu19B9CQSxonUav2dAMaIUHIpmGOV+wS7foqmYXeRbSsbHu7cb5
t0p6q5KUT3uOO7oJf62Sltd8r5IMUtNBW+Jef693vldJ9BRtmcqJTHHmUcvV6r1KWkohstooKrDL
01PkR+/3O+MLyl7Ug7QGLWqsf+aGp6z6UCWZsm1jM1vC12RNQzTBz3+YumhIcpDRi5YJn0nIdJFG
+PEyKICXk9rPPSQ5O/RnkyzVXg6Z0PXJsDKY0ygrUk2mHNEOmRbpobKiaiJPByQAZ3w3LEe9MqLj
A4yWhtpGEXD5uD/oadRchpIfk6gr+XaRs0rMTr8QXWfXuSfkstcPo2EMEFQU9GrNM7nHNbVaa/qi
IQD7z4dX6UNsy01pH8NKDnGA1KTjDIN+WxUlzbEodSqWB9LhJAYKWQ39IcKbvlatCOEQURZXipkM
X+XcMModOvXga6/XI7uwnC07dAGEsPBPsYSNuZficGvqBL441qBNl4pQ/V3TFcMRx+1wUuK+xdtT
fisGC5XiqKr1sxWRO5a2utoRAG2oO8i47Q1Zn5nLJ2hAo0jtTR+mA+zGgJybOdqkkq5dWbOcrkYt
qPBHyKOODpBINQNf5Q71MtMOeZlXdnGz1kulxIrZZMoAOFP7ytfUbiustPQKF8OvbYfqkzaX80U4
s/E6idqpXxPofoeuaoLdRP7ZAz0kDRG+ql7kyFO8GUrxedclL3yk+Y5amTSSJpLJK5Vl66gTFuBg
+QhPaJnxY05GdDKiptnYdlrDD7CtEyZjuB0VNQ/gIEaEJLm9EIySnhmD39x1WdGtG4yhLvBKFWuW
ks6OGWIpn2zSihTC2i9BOWJz5Wi/0CJaxy1ihgPNu/6AiXRPe5j60ZKsdWVM47cBvMjWKrNgPxZQ
j7AWCQlCuCnvM2j0AAamFOhoy0W3mqx8UwbEY+nkBdA0r1EMzqrt79NaMu8AUt5DolbPVMkqz/n1
/bWUZPqxKVR93da1fM5hNe5Ta4h3QYSSlL5vDCixnK7C2hq8vhmoHaNuXHGh8NdN1TSB9+/O+ufO
yoXt7++fh9f6F7GWS9bx952V0DVUZBRszEv+3D7fd1biBBQb3+VigVy4XT/Mcdg+33C+zP+Z5YqF
TvK+s+rsrDC9ZGEwPsAZ8I86Z2/Xy5+unzZkQbJjaQvJAmfEh0mpUMpAVohLOglIUE7SRzU4A5xp
nqh0eyN667nxg2FdlQYMjGmOwQRljdVNticiNX6MVKXzz0O/6KodOYZE9cb4S+RVKRmduCiBpA4X
DGJPJQXqjVQPKjIkbRbruJkbWjth/KSlBpt4PgU4Ynz26wBTIyatfNniVX0O1+3b01ot8v+d7ktZ
jMOxFWnziHEyRqc9prM6zp7WmU3UrNV8jJR9lg1zcR3MtIDg+/pL/kHBjMXWAlIvRY5qrIePXhdD
vIH8UxH14isb/NTKahireUMoVX0392HH7caezHmlNR2C8km153GVdppZ0Vv0JTIZ9VJqwGbM5rGb
mhCWvFqY1+SOgVbJRRmvTGJDyQ8Pk/Ya+UNtr0zC8M5H7vLqphL8b8ZgxcM86DYu8yrAW4c5oBC7
ioQi+d8G938a3NQdnyzRKA+aX1Q/vOj7GrW/LCgg1iJRyn9Zo8gyZVOjOqKKoe/8XvyYBH7wH8ag
JgrRt8bS+xJdih9WrSC2cfHJs7D/QYvozXzz8xKliW5Zsk0T04RItHSQfqh9FF9rp6QUximcmdXc
qoQ4AITPpwxEWygxY7LiRo2OjZVoDyUIbgJih/RSljTXlonp8+pobCO3FbKPdcYym2qXFTW6DNFr
i1GmYUE1jb8ftHQIQecWc3JZZMk90IMrUwmfxgH7LAXgaTLzytNzA2S3GAlcqMKvyOpNEEO5ShkA
EpuwJXds4UTkMeArNZm8QWuuQ8V/4Lwuw0Mhx/NEvyILxrsk5f6fRd286Y06KQsv5F813aKb2vyo
S5O5ncKYGV7kr5H4DCti2SLHz/vyK16ip6CPTbc1M99VynzdMBt06Tltq1jawqBonbHOv8oaBJIU
IxumG2K6AulFPZb5dCwYzY4akYB2OkPyTf0bpbIuMwwd9tRv4vlSac3boW/usZOu9LyGRvfvWfnn
Wcny+PuFePacvP5iHfKa93WoLkwuOqo6QgWOokXD8v2s1L5w9WBB0UEl1lPnR+8L0f5i0D79rpNY
1uj7QrS+mFxCONhgVmryP6TsQwD7cAthMZP78hauKoPpXNQVP65E5ivsylUOtalPg4MUZJV/PZJ3
inJWjZLNQEqqMwk9cPEikL+Xpju9hkm+mHK3iQ9GPSNk4jgMMtOaGNnEeuzoDunc4cnYUM4sA/Pw
ENM6SDCYS3ZsHMXsV5xwJG9mAUORNlnbs/VqxHiC+omIRt/XZ4KLw+CQj8MhztO1ZMEB42jurtq+
YTwxmk/paNPDikNs7AorQi62MyztQQ2uKoWICtmcZq9R0W3kWb1tZ+VkN/ar8LvLSLPOmd7uaNdc
R3hWpaJ5kAKrPOR+cahCe1eHerQDQ/CQtoFrSeF1phq3BA+ODkM6RBSJVlKhB49UyDvNKlex7D9q
NkFMoaYg4KjQa7f9sGlC+Je0rvBYAFGva+CVorAPlUabKalVgp7TU5WSECPi4Fhl+nMdtuftnH9r
F9OH3RbuXDCBnvxyn4lEwNxrtwTa0c+diT5TyX2e82CVqFD9S402oJjI8pMerDq8nAbdd8E+7bqA
3g9eupldgG3QykenVHwMQvBMuRU90kvbUPvjZdTqeR1M6QxmNHxpmFC7U6kYHl23jYm9EWGltsks
9ZSXuuoNbYr6m3Zw6Yf6Squ/deYkb83EtFcMmBjaQdykbvwmjTQLcd+gUekYmUegvntR3VhQdc4k
XGqJUV+mQbO1+7pn9IaKoC2FawTM9Ec5mJ7oXO+tQP9DcGOi1RjbpPDMjzqoTiPQn0Z5vqygZTN4
ehxKn95UG34TmY7HaUjsVdnEp0xM2wSNjlPrCrLWbngdLUgPWPCZYZXBOla7lymsucsZ2lr0yctE
WYn2oy5RSRDb+rVn+nLGnZiZWrZESLeWYqTeYBAszd9vbrNpSZv2jQh8Zk+EOvJ+S0hkFrEbeAxG
IMPTSUwdxAQ8oPS/HKLhiNVBJkLsGVxNP8EXzzESbqdePp9ZDJeTFYsNGaTDZcnF0eGo2mtarEFj
soma5TVzVErnccCsQIxysdJ42kijrPBgJgr6Cl2Lxh2YfMPByB3tLWucqXmNYVVEUYupdAhIn+rX
OMtfLDk4B4kH5VtVjlpXkcZk25eEwgdek8anymSeoSr3tBam61qRksdciWnCVxk3RaZ9il+XK6vl
gaxNLVnlwLN6veWggt3D9Zg1S7YXz40KEUPkMqznATsufbXVGGBtgA10RB6ySmwA/x1jVmzvpkxu
RPO17pZ8HOYmvVbvcrPT6Ftbe8nClMTow8LqHyuOShLFk0pN7xg5JPEuIKdXXw7KPBSpF8FHXWPv
zdy5nXEVKupDnGX+2m74/5Liam3yGRxDkuBLLTKYdo0Uy9TLVUG3dPl+fRNXLby0Cm4aAYGniBXl
DnO3j1F4hAN/tUzSsgJzTYG9Fi0QtuINxwaXbeksuWMomM1bHd8QQvGSK3e74NwyuG6hEaEXWfqY
Bcw3a4G/DSRURdDgZKhwHXS4OQETR+AlXX9aqjkEuaYDJTd1GfHF0OX8stya0OboYIaeweFBHFXK
ggVJpwKoyG6yN1Bd2F/kC7qu0CMb1h0u5aCSt7RF7il91oNeHuhjvo4LAA/Ywr5dkHiBMm6EqV//
WyG8VQjL+PXvKwSwRv/jcKN+rv+IfjXXXV79XiugSAFVj3DEtojeeRvevtcKCiNfWbXQQcI9+hN5
9F4rGPwE6ABmK7HcuH+8V2tfEFsu9bzxn2L/nxTtMHU+1AqIDlGjUH0oyGYAiS4//6Fqt0dDosul
hSeJiGHP6EHEW2gMd2Y/VU99rdG7byt6N44JB1+4QTIjgfSHqolvpziJV/YMLu6U1yp0w6oMiKZl
fNxfjoOF97dDhkPGScBltSPwI+2J+sNrZ1na6GnmUjMgg6jmHUVMHTSblsc9vLbadtn8WhAwuSQY
6czBHN9kRdrfou6LVTdN5Ilq3YLfosZxuC7LlJElrGZKcSy4KVf6u1zppQ4nfNvflRlWZI6DcibN
IUcXR9gX+DfOfOtCS/ryUcuq+FEySiB6ZMNglu9THy2eElhOSpQLYRooURilzhnFQ2T6rl2oTPDk
zM20uDvKkshOwsz7q4z78qoGuqGznPN+20lE4XRpZT2pORnIgNbsgixOJCP4bK0I13WMTv9KUiym
CXObRdu0FvNLpkoLvVGfmtyd5MoAKtDZRsycCuRyUuysXms3JDpMUuNBBe4f2wilH81krLs6Yz4a
y/Gfbeb5z6bz9H/sncly3EjWZl+l7d8jDaMDWPQGiDlIRnCUqA2MI+Z5xtP3cWZlpqRUSZ3d29yU
lZWKBCMC4XC/99zzjcayuDucgfzf5qoJtzbo6nXbDNQ13KK9dqmq0LSkPORlpEnc5XJ+24DuOZcf
BZJCCQck4q1a5n74UUSJPgoqZPUkj2nW6neT22eseKJHQ0dgRZztVKPobKSUVZDsa61JJvY8sTm+
ITwP31xMG9u+M4JNFkclsnWXSddWaUn+UBp7Rc25/czeq2pO+Lhdsk27fzss/ykyQIf895Xr4qlt
335UCeSn/lyx3N9c8A1h6IbOJkFmK/yxYunab4b8nx0gObzDX1UCyRDjMETpHEyFOgTIyV+nG/c3
VjfIFXnEoRaBpeEflBk+VsxvSRQL5IU5a85SJkz3hxTiqxVr6N1JoX4wnritWzLUh4CU397GNxnO
cbTOdOlDTRGMzShB0get1/BZUMCMu321MIY9ke6dXrRksSzrZNK7ZY21puAmxFoorJcJFg6UDYp2
WXdhw+aMfghUqha6766aa93t3LaEZ8HJmgH0CN+sVVaVo2g8OjEU22oR6gsyrHRUYhhlhGSe3YeT
ts51OvdrlM0588DOR1U+1ba9mjrOthlC07rPNEysG5sNEgVLtkqFMLtdpQzzbjLmPnkfDWfahAm9
jXUYJizVBmmuuyidwoMSONlzHBRi5YYkBHlzNQ9rJaOTM+S0ud0IJFDNCTGljGE9D1ICsSy5se2A
cCK2laG5teboXYyK6eWF884ZjXiDHHmCXfFvlZJgyxr6ZgsMMx6jsGqPjtwOhnGOV75DlEALgGKG
zbChjkCtWeUwZ4jh6BT3kkLU5ljdOY3JCSoYiyfNkU2LpQwPVaNkZ1OiEhmu061TFW+pjYLKyAzm
6aPB3LZlF69V0lA5cNo4N6w+O6cqwVc1AZN5hQEHEfS4dpSSs6djvEWtUu6o1nBb0Nf28tCs100Z
2p4qlOeKdMedWLLe51zgbKOmebdHRuUrncOdnXNkXY1NyCRJp9vbsszbg2upyUpXouSSvxn8ohQl
oPBAhnZC8oNtsVm1x/nadQMskm6Z49mIGK8d85SDlOl4Y8/CXCwNf6ZjfM4KSJGwTkKvaUx816ON
CMnOSEqvhprOupFstUzU12RtAQeGY3dtx5ylCFqvyYmbycGinZJtFtWd1u2AvK81p2o9aXaP7q6t
18FUpDsNea5PQTnf/bvh+70kROfivy+bl0+E1f2gJsQP/bFqftSEKM5SAbVslk3+6c9Vk5qQTksY
TpxTPHXbv2pCzm/Qe1SKiEFmr/dRSfqjJsTmkJxEWEB2Z9KppP2TVZMCz3f7PP4wwbJusnLyV/AL
v93nAbJYQijqckLk+FAbGQEb81xIPw1CySXfOLXYamO5t2Ygrcl9gELjUNkTb5a74i5xzEuj7Pa4
kNekaAXtyrZzTsJxNFb3WenSv9bV61Apmn03xqG7KnCxPTN0weJQaNLrilcEx6v1oXuV4lfkfvE6
lzJYVWph0VPdjlIUC11/ci2a28gwVlUEuVRjlZ2xy5LMcm9gjvNUKZ5Vm3EvMNFGsXNgmGg1Y6ht
wMkQuI9emKg3FQ5b14EoGVqkth2FnADP7VAxjdEHxfssFbjsYjaBlOLqUo9r6dOpw5dbZ8nETlgq
dHHp4oRbVp2Kls/FtRuqSHerMoJPAzeg26pg6R2nUvE5hB+13j4ZeHx7fL5Lb/u0rGyKCJGkdYZj
M1SfIukAZrrCczLjOmW2AqfGQxrTTG3wBncN6jkpEtYCgmSr8l1XtRUqzBu3rxCMG/lFFeZ7LZ8f
UpzESjkQcmLNK1WZUecw6ksdgROmoqQdGdbprm4VpiEi4SvY0FcBcKRvVZFz0nk4sJTgwx46zFZR
Sdqwi8OnTLBR5TwQ1siDFr9AAuLTjntBp3goDOpG7MlVr500nwyUPVuEXd83pMBCNhtUPqAHmrri
oSX6fNtZSLHIhs/3Rtf4bWtddhPsmlHquh8Vw8ZUg+cU2WeaTYpn9tMqKaanUODD5HdKpz1JizJX
MaICEBnKk9qQGIqmBlAyNXyNyh+UO8MYvLFrR217Io8jcZGNBtGARXOLt9S80ruck7weDjDwbrJa
mn4XAWeS7wctlg32CrWati2UuEOnVourPna2tmLu0Uc9qJa1U3v9YRzIuMU2pq66VteuKGAkF+wW
Krhw2nCRxcwmCQGKV0yJCXmqBNtZ09SrajL0a5Is7V2cDlvXRPQzhoc8haeaav2JEQWLmtEcn8hq
GH0XNGJ2yDPpSAnmQZn51lg8zy1SoiH+XIYKG2Sy+8KIzzPJ5uxEuIPHGNAvRq3lGvBXB8exVDZU
pEVwJKQpRF+XTeHXZ8HKmIY0U1ztlOX3qflqWaCq+6/WzfPvv+x/FX1+LkHg2//9Pz+4BGoeTq4q
a6RKQ/nbS8ycENskRm2Yts99ep6ru8L9fZ7734FNjZ34z55Rr28/kizLn/rjIfUhWdaZQeGwz6cg
SfI/H1LqbxYWI5M5fgNQRfBPfxQj7N9seTuwvTeY6Kep/9fWXvzGZ0k1gh9AXGz8s3hg88OK89cN
KCFzsC7EfniQqYc48o/4+gZExDe3ekfYe+DmG3sGOu5aJimyucGyn32qUmz0U+eulng+yCHHbZGH
l1nZI83T3kxlAIF2LXCZkYEYOztOTMV4i5uQTjtwBFCU6yLGdNyVJEI6efaguixRQey6azOuXrSe
ibHOYR68D9G0DY8iy981gEJL70ggCaMvws1WyjCGD43eq7siSI9hPga+HTBSyJ9dbvo+vipjaPVQ
0x/7DPteHbP9bw2TTSW6QiYbg/dhbN+gCahr0G5YO2XCzEwT35ZpdD2FBYKl8UGZazz/Ihz80oo5
nyjWwRKKtepFxDvgRsCqdvnsWMkLAtirnL4w3jheYt+06bqttLOSwQ1n4WVZLcekjGkXNpa6amP9
bCXJWS2MyYtj9gCj001+xtzTloY/T5h2fAnaBN5K62Msmw77zIgHDFHvd8Mwn2mD4idTGQ5qDeBJ
snVv2xxBW65dwx43lBAIVVfc5Rhl7iHqJlD6SIUkjYhh7oZ9qKFADEtKqLQsYWd7C947bgF6I3W5
b9OSQAUe8Ose5zJdi844sKlKNm46vXIGwvc6RJqvFiql7DxxtsboKOsqNC5Ere1r06mopAbB9awU
xNiSuruZQyKL3CwnOVOJhV/0RXRdCmVbylTW2N6USf1lhorYtqEhj3wRzGpox0TPmxubhiocB0cv
UQSbLqyJorULG54/f+ncCGmCzcYd1CxfZ8U0raY8+AIkvBdhU13GeCpX/NJ5BSOH0biYVkQzrONA
69ZDIdqDrtc3acDck03na5VMFjdkT+tcbZldaHAn+2G/vCA6Nryq7dEpKiZBZWkhU23kMyXR4cVn
55LeiLtyJvHWVAMRroxhFiNBO0bHrWyZbGPCIc42VTg78H/itoiML4Od4trLKbW0jp3tOkZe/TYc
b5VZpkZF84ttGkTg5XThae/R8ugHbmPXJl2CXlNtZuZOya1HN9Gf1bTkeTlhAJsYemRYg/eZCQBz
JHMsqp9n15QYsV3bq6J1xTVtrs48aAsgw+Bx88brSaLBxviWQQpPxJXg4HMQzUqMeIYnniVYbI/5
4yhR48AhUCCQ+DHU2sMkgWQh0WTkucCEMi9PYsvkZnxyJMg8QjSDjdPKkZCzJnFncOraqyUCPVvF
3QIT3YjqopeQNDFq7zHUtG5E+0J3joPDOBhU9QJdrUNZRwpaYYldlzMnNzPrOXg25o1aioGRajBt
cjqOjgS3mfHbE78Myp3yh7vhjmyQI6fgdwHzTTiRXJrMdRnk86FU5iddZZ9daxDP9UTdM54HcUAP
DvYdTkHvJ3bXfWJaYCg3U1Qx7xwpTXlroJd8KKdpfJwCHcO1UNuh2RGbYX0hR846dG2VhecszEJn
39WK+SUIhR5cJhbd39xNu1XvBp+0yMTIOOncGkGYMQlhEsdQopMbE/bXI/fd2iJ40OMufOzNHmE5
m3lajbuIyi3DavQc2OoXnlsG1w4RE1NBVg9Rn4tPx/mcoVe77zVWuLyKWZ7STKedk7yHjX3dCHq7
ymgxv9tWOwLRM9+u7BvD7V7zeXiorXLZ8C3eOgF4k5xyr9Xl7JrxsU+Rz1WV+kRyDWR/McLI5jfa
SE2364J2VzP5wr0WnOZU1f25I/hdISoUAe6opfui1DFcG8WTXQ7Rmsy1hvy/+CJOk2edoMQymRij
0DdFPVfe4uDANk2+hxlVDOx4d+p0UQychggEpF9YLNu4j7fK4JxCzYo3w5y8CyMi6rTbB4XBYFIW
rzV6hp7mADpmA8PwBF3d5gul7yhg9WvyPGSWBJH4TDqTl+gx8BeA2GzmW2NQNTIdOdzror6JE4sS
U2MTpFefy1aNfeDciBxL5a6O9CsT3fbKCpUN3kcOKXbxkIryXOb1lSKIUCxV8SlxhpdkFNF2nLLj
SEyHN0zdMSA03arR+jFKPluUdvVOHKqASf0+qZATqPuqdb6ohsPUjcqIoFBKdOAAAAVMqY/L0ytm
rIKWfcv0C/ty3XwTg9tsxoXF1nC6Y0Iki0enm0mfedowv3gwO4fTUUweYdzYnCBg/PEtw/PhdFbi
2yzIn+oeiTalj7SbL4ZSeUgNPmrVoYLTlx3LzbDJtfAtcd2dxXG1VPjXoHLeuyF5rVrtmOv/Znf8
z++lYqlh+9l+somZbXr6e9lD/txXO0pDIi1Ug0HTwN+/2VESzWv8Xg7Bwvv1hhJGTNP+xO7Z5v1V
9WAbSYmEIW3CW+U29B/Uig05KvDVieZjQ0kJBRLfJHhWnji+3VAmqPJ1m/zLU67S972M9M76Mmlq
5OytpihC2hujdVj6WnwRkTk2O1cpgB3GSRkfm8VuHwgiK29dN7YIrDL6sdwYhd19ao0eyzudHZt5
HRI1zVh5mHQOs1O4mHjS9dTXJ3F2gKVxqZ/6QdyF2fyEQvFJJwGLk9uNaJ18DWK91bM85kDOnkhL
xXoaglWvNAeQUTpuLSBB2AyoPtT5Ka0x2td0uXErh63XaqQ3zQtBSZCzm6wY8PQWzDxaPb7akH7d
MAa7KmdsaMAJHAttlRr26xzgKXUa9NEDdY6iviWL8kvkQACUAbUHpuwQHuvLsnViN/fLAQM+IsSb
RNgXg9N+1nGwpaLILvKmPPYRk1B1oDsrs7UZRmhCIImRNKNqSW+GurqvzaW6NJoBHXLBQthIVqXJ
Z5JFTIk3ZJAknTFF/lSE2QWmEng9UjgFIz6tpiLYVZs3ou9mYIIpWzttv0PUtlXdfKfxBGOkK+Eh
4fqmCYPOAWXD8gACkvAeQMmOjPg41i4u+G/mMJFR5JYPRZS+slRdO6TLOVX2oqXRnSjJ3eu6xLwI
iMYDw7iOKzbfg4UcHBSKXAq491BieGVGYoYQd2bDjFho2a9Eqx1pld5Us4PpQXV4KhS27bETS9BP
TMdCZgqrIxxMWWyzGJOybvaL32mkR9UFAXptthICQT5Ps7WoutvCEqOvkJjnRaqzMWt7uOrlRhmB
m9MBvOy7VOQPhK5NK5JRCWCgNmLRui0WgnFrhUmmZO7vmzl5DobR2omo6QlMVQkwdT4J3flsB6Gv
U+BihpWhVvlnqMONMjMGECynjJxADggbNzhzs5ZM7/cXmZuel1l8iQV7s4K4l00zxWzw2EJAE89I
OLjtNCu5KPWSYgoxGZHifFIYyvU6a4x9LZkQdzTxJh3TK6vKT4bbHE1XnIeWfWInGaHQNpn5rL+Y
xEVEln6fdxltxNI+VIM4zfFoUE+i1OUGm3CoefwG7R0wzbNQpstG9G96kN+hViEoTFwkQ6rt1ciG
uMxcZuxKPgdK4K+ZNvIVW6j/O1MGU1GIEy9eeN0Yfa4boDZNzU96oJ1ryjAkFD4rSuA7Jem7dgR6
kZOsJpPUeexRxsy74lMkQ4Qpw+j46IrsqGR9RXIOQ3UBSKBv5/kTDYV03c3ZtdYGnzOlnH36ajSI
XHPnOstFVnSXvUaMRm8+jiJ/ojp5WCwuOjLDV8WIpt09GcinNlO3pmHujAp5QhxkjBMK0ytMp9jM
DEmauhzK0UDUrIjomc44xlpTXLcy0vowDdrEAlEMJD4QQuO6dbfTEudTnxcZh7Cc8J06Zv6lzlTk
wS1/fViUkOGTqZ+n2TzAMmlXEV8sn8/cOhU2lS5rALtnHzt9Wmo8MnSds2NiMtfa8Rasx0zJdhoI
kFdVlGS9ECSfMUHRRbtOMWg9EUaMRx+PxEZJgvTfju5/HtPUW37ymH4rXsuXH2IokvX44zlNe4L5
CcgKTAF81WUN58/Kj0l7Qgd8xu9LVc5lZu0/lR9TJeVdx/7rUo6EHJeg6R8PaqbtEHSppL5SS/on
D2lL8Fu+ekjLsqOF+YDKD3w6ft+P1sVXDV0bKNOhN6qcNCXz8Q9xxjeXt2CM0FZZGcmURFRaWrJp
PkIr1bhqbtyGJEvdHhRSLe2ShMvwI+zSBdta9a3WfOKwSBimpbBuiojQJl3yX0ktmTDdWbZhO/Lf
aL9sbUdllkGyY9Dn03qoFHfTAJYVpNq+hDWsWa0Tt1FK/mzsIeEGyaR1Jf9fQ3Jq0B7Nl+qDXZMU
2xIN1mEs7EOSNIY30sm1Io5NLfBbr/fP+aTzjZBcHAVu+qayeA0yN0t2LretNQsEsdeSq8ubJFy7
krXDlAWyLvm7Jp0Q4YPkGcTDrx0e1J4ueb3FGKk/ERWStAXr5dwhr5d8n6YxaE2uDYqzq7gOoxUd
outk6fAsAAfOqgwDZ2kcKX618bgRDkdRs8s6z5FsoS0pQ7xb8aH4IA8lg8jxVV23H2AieoGRBRVa
cagc3eNjUU4o02bPAmpMOuKmCCg/1JJ3TEkivF4kA1mgq76ewCKJfol2riQlgw9oMl2WeMMjAGIX
fxOR04nEKxsJWi4fzOU0EeNFxQISkzT5hY52UQW3xGdU2yFJKnXNjV3si2YYWMxgJAOhOJfwJkz9
YY+6TAU/XFxqdR9cQ8g8ZpFleVEhnsKGVIsR3cuabtxjCv+zDjrC49089zslvMjkkL6TzKeMaocf
zfl7tFir2ggJjwRMxSFn2r7ZOMQoFqgRlEHsm4HgVN2ieTIkgEoJWCEJMlsz4j/chuP2ZCGxNWc5
ZUSGzcgfQOplEBOuM+rm5WBVymE2bMhYWuBny2o5xjaUCVSihgjS1QkaW1VJ1l2A/FPz40bDrDWK
TVNb9VGYLOJKSR5cM+oeqEC/ZSr1i+x2dCqdmxmC9zBOueFlQ6htLDNwrmC+N0ruvupKeyGS/Lrs
+/sAQ1pb2QRg6Ep1NaOM3utyXCgsl51i0TXK6fAQ8xIEa8d565TpGGf2ETj6Yo5wdBFVvK2nGYHc
suE1n5y5IK6E8LxBOVpafJFHHATj3gouC4faTo5QbtNH4W00T+G+jrJ9k+BIrfmQnIi9wBgnnpKQ
EkaB6CnsR76BIj5NQ0nQKFEvntINOf6bmqCPbO8SUu802A0beu9lSgaL8y5spru7fMOuflOlta8O
NFdCnTYhHZeoSvY2k7LuOPmj1n3YSkhanrJ7J1NPbNruYdycmfzdUlCadsUhcJb3qtZurKXf272D
riBfC0b8mUmdjoyc+6AnT5EwtqIZ1m0YVqRFO+eWrCun1F9dtAtenhlvnTvfmMqELryuLud6YVzS
9Cs+4zzBY2JqGNHywR8WFaotyF/o/t+N8n7U0mRPltQZseEpd6hPJJgxp3Jn5yXx7Vw+sxDlFtPV
XM++vsz7IuhXisMGZFG2bBZ3tlD9vEp2op02ikUUFrqjFwHllinVToF8TiNS26ryVJAcvC7UcsuQ
cuJhZTnrHSDuEO4mBA95qVxQF97MWcy5HYUfXuOarwhckU+GxIruth90GSKGt5JMogkgLHHU3Uy9
Oh6LzxaVwXZhctbkGnQJzUA/UYu+bTux4dhCUWPCeuDeZQlBq25GLnI5qtvcJNEucLkDAwXyQt04
bv4+1/EVK9yGwrnfRs5KOCDiYRvtaVvuyMD7rGodWyznVojqsxO1N+EwX/f5azFXb7WqRj7siWcb
OBkFVnSCX9OQtGJ19kMjuiYd57IcjBs2m++agr+mUT0VY1alqjvFHXZOq2zUKLtNrPKis7R7jjbk
aGAFEFYlI4mOrdpv+Cpeta6z0Yz2QLIsF6zXpNMRg1G0K+QUBePc+svYl5/5VXQKmAeaW2x2fJPw
UUWjz3j4U1u09F6VI6Kq/aLYCD1sElGalFQjHhJRFdQ+3QF6qMLe6t3wiWSyLx3jC3Nl72nygNMw
RlB2zY4Ukr065RzNLHfL2PXnsVE/lU1yUyoaha+J3WbPe4eXp+h2dmdxd9pMQA3XDDweqwXqX0Hf
ENs7ZwpOgbHsiSY7DIF2SXys4xV9vMkJ38VjRQ2JHK/RwU3hXkCYP1YIbOaGVjTJvPdBI8AQ21PR
WjfA+KrHmPZtT+NxqKjcNovMls0uMitkaLhWvZGWRiMXqqX8PKfdUW/QHVakONGUTwzkyqPc9BRU
tor7ppoPml4eFd2MTkpAuxk8LLttwWX8Re8ODb2BBV/KwLCKoiSvFIjvky6n+DR2sefa3SM+Jk5s
RO2VDGXE2qvIafN29ee0ifaqrp1Yb8GSZMogUfRIHfleZnbqL6r2GFlttXGN9C5vOqbnp3RLcP05
ScnaS7GlFYR1bqDsdkEq/FFX8nVMkOTQUpAk/tfXZn2VZgm5HsWZOvc2CabDhDCoUqq10iZPHToA
OanGN4A86GSw130frptIKXyq8VTOoFUzHhLM0+wGxXklGWvD/PkWM8EmVqc17WvWn5bCaDgtmykv
jnNHDEhn3dFu4lmDh7NoOZ/Fqa9Eo3IodJN7nVIf8XGNVu4zpbtcKJG0TfXSO806TFqXAbXpcjCp
qeYqj7+vtrT/V11jiyl2XdB6gIWGt/q2jNONTdP0caGc1JzeBzKb9IYM8t8PEP9VNC7dDH81H3/f
hsogDU01mDww9O+aj7TtVEHnVDlNBDPSP+gfpxIUf5VDuf385fxow/v1lb6zRJRBOWtLwJV05yoy
OS7Z2npZ9qV4SPovcSn8n1/u7z133j2+TeQrcBikZfbtu6fTDnGCrAzPg/Kl6491+FJkLz+/xI9e
EbtlNssSc2f+89tLBKhQyGyvovNgMom07ed5nUXUfsNtDGajd1c/v9wPXpFJ3Jc0OUrWSkjY6asT
g2yh6bPaxWdmar3YAJtjLDv9xWsC2v/+fvjmIvLfv7pIGyidJQIuklBN65oLmOrV/9/LkC/zqysM
3UIJhMGhMy1DMaLaKO8C2o8/vwgV2J++jO8+miqd02rI2/g8KYYXWb4bn5mAZ4F7tCjutSe9b39x
xR99OrSumYViCpEpBVmU/eplpTFkfpFo8dmur2s19KtsbwfvP39VP7oGtLEwsdvpQMrfvXWBZSjC
GZrkTLrbOhfMIpX+mN3//CI/euvwgkLfIP6wiWX+9oWQLG/bcTwlfD6PhbiIOCkmLAZucJv0R5Ne
4hhc//yK8p76bg1iifvrit99WBGuyabSZlr0UFGM9iLc/sVi8F0WgSSwLc2G0dYpiAu+r98tPm2J
wi2atPycXADr7Xl4XjIsuLauoxvLL9bx5tee+x9+WF+9qu8uCXyRT9CtyXkQLfI/GUnNolDu/l/e
Owr9zNRw530fxCUWTdhdribnoHZ9nW6s0/3ivZPv/vefDugMd5sLxASZ9e39UDG+DqCiJGebo+/s
6Ow2v8QmeZdJ8ovX8qN37OsrfbfAAdOVDSXN5Kyhw3KureC2Xn6xvP34ErgCNBcXO4D+ty8m1tLB
MZcwPRfFyeonrG26h2bsF4+6H32FuNn+vMp3H33aDFE3h1wlTl8yZUdi47rBwYVpMO3OSrrNrF98
Rn97WUwF4HtnPJtHEZzrd1sFXDR2ldtldu6Gbd18GcW6Xm7+4Y323SWopX29vhVDyBsa1dkZG5in
KQg3EusXb9vf1oGPS0jciqFwlzrbt5dIpilXMk5a5zZ7UZY9TYJfXOBvtzIXQHoF7GdRePubFp+l
0x61ggwa9nl5DzOV7OOEjan79vFe/Qvjyeix/16VPWdPL2/ND1qn/NSfJdmP6qoJdi3kwMx3yQl8
OozhYxCwQOHYbv0B47m/sXM0pCKWxxKBgXywX5VkNY1+DvgeS53UWP+T3ul34ar0TiHx5HYR9E/X
5SPw23uQuX0mf017PHVgob7ZpZ/KYb6BnQBncMNTrtXJC2hZAbNi3EHqJP5gKMGtY4/vSqRudO48
BH6kq4Y07+mTOFQ44UzI9XtuQqoyU0Z4+dAXN6abhVsVjGQ7DsElYB68dmU/90Z8K4blU5R3wtcz
uB+9Mv2pjPIdiuiDUSF3zm3pM3SLzZLpt1xrNXYa8STI/lAmzsQWOn3iI1y77FL3Hh4x8ijSvSYt
Fq4muFbN6RQxrI40uvKoY1zrkapuQCQxhprDedLtci0PCp6tgyJzpPKxQjI2U/tG3Sd7iukxM77a
TqPCvGG8v+WYiDq+nytjbaTBVuAwJXE2d3dBZd4R9o4MwV31hrHuq1b16D3FkFjzftFgh7sicjys
lg+W+0rfcdXo0yVWsoM9dJ97dYn9KqGWySQ4bbs5yDwxAMZY0/w2qOV+0GzGhhSqomr0EGo4IqFD
/MzJaNYxbhzGyy7RbSq99pX0PoRl88Bk33Pfz0e7TJELLStBxbFutX0fpNf6DAIWWuLG4R0KYkA3
pYTryLKrxnRvRKw+p9PCJBU6dY+UBOwF9nif6+Zj4rhXemXDkw+Fual6jY3mZB/pO92BJBYM8qkP
8ZBkzFrBVhnBfTUhFu+VY9ikrtdmGRQnKpdBuauM/mKKppuONAnGdj4T5fCCXpUJeMATv6no5i1Z
6az1tn635/lW7WFNatO95GO6GIlLrgHaA/Ndq0iF1iXR1i+byi5bbE3AljhbROKUnhra2yXBstcU
5RejEAyDtjPSmunJ7EfuL61mfZT2gqErLxgMfQ24I93GyGm+URTLxAFRAp727nVQSJfQI0Mmf27D
GCiN+VYcwGNHuQ7IjzH8yCNoLlkpEeXfGc8EOuD0Iel4k5aC9pgVUSs3c/2mE9XarXLqZDnqJQoa
1QG5VXil9+XD1D5m9d7gO/dIECg4GhhWFJJkAVuH43SWqojG3QcpNvTSbqetOVBZVvvR9PtaI9FJ
zibFSvVuJcQqXIzYc4vrIAqSed3lab3cD1ZJDcAaJocY5zBIzdsiMCoqAaHxEJtJuTa1/pYdLNz7
bFJ9Na2VOw4rJmUTduHuFu1vu2Kk1VlxbM8OMVkS65zK0LoajcdysBKOunzdsohbGlgRun9qSE+m
6KnE+Sp03OnWqSbhlVF0mqLllcaGR/PCWSHM2ahjv+rTnOPyRIpvIZyIWdFwk9n21WQyr1bFlF+c
T7FVbCLHCrzOiTaiI/LUoXuiArJO5TmL+001KLBqSnssq5YZjqE7mFERXmXpBPiOGWs2tC3DZVdt
0pynur93U3fXkA7N9Ov43ArzoSyNz7lqM5hPyS3JwEfrelk2PKgfrEh6pBdm+iFdrsZgcL1ipDiV
RtmFOoJWUOnAt8vTtu6sx0oRlafXbIuM9H1e6vsqsR+qOr7MGvO5IbrGV3P7JDr3IPpSJZQmwsNQ
j/R8u1Dx1UB7VqfkhgT4Cz68GoXvMnpdat/nA4zFkhkdowROtK6dcCUWxSTsxSVlKq1XZceXaear
Zy+8zkjftyGzIxgRbnBJ73tdO6iafQz67oImHIUpKmJeBkPGuANArRHnmdfb5AmYubasg7R7U9Cz
bUq3Jo25d2OvqhgLD1xCQrN+3ukFHe4weFLm/CJKl3tlhpHTpvkFaDu5neEM/WYcd1VrFgTsAHPa
Yf0ylsyjKA2hAmVe3MeOOKJafokXuyMgRc3vpqLZKYV+T5ci94OKTyOzAyDgVF05gcOyMe7tvGJI
U/RMhfB0qLoXVycQvs0z7rU270fLy9QQ4KYBPQczy8JibQq3pQQso1r0j9iWf3dEHyN0Mt3sv++I
Lt+al7fXH+yI+Kmvd0RIBvmuWx86Qf7pzya19ptuwphxe9pyc8M54o8dkf0bswc6cwlo7l33Y/Lu
jx0R4wlMtNgAYOyYgNP+kYOQmQZ2PH+d/z5oMptAK3KepYfQ/L4MaSg63aE6TU+aanbNwe3iSkWK
nJsKyHFqM7Il4JtYZ5Mas2m66vV8vzT5jhw1NUi2heTSZVOucx7oc1VeFQ93mmE2R3XKyuhzIFFV
0fGwmSnl+fkHx5oCcjPpu6t0K/NjaNcynU+TgtTctfWngK29z6TrsYKQLcTEBCvM7AQ7W0mItnem
B+YJXkVl31RGyS9AZLoLJ4spM6fcma17jVHhfSgbfZ0nOV01CexWY5feBzC8eFTBldS589NJO5Hv
cz3mGFCFfOaEEgKeGmc3CAaV83TcBUJ/NCUwPJZzvx4kRFwSq7hmH5vsKoTea7dBp22VAUxwHX3u
07pbFVaVbkNSS7xFciGGJET6D1hklNwIY1w0BeoPnIRIixmHBIxJFKnVOpXcSSsJFFRX4Y0tqRQh
+ZRSkiqo1qxTLOmVUINjmQFaakm2RJJxKSTtImq72zaSgIk+YJhBcjE6gEwgSZlCMjN4hAb0T3A0
zK6B1CSSrmFFNI5O1VALz92ZZz0kXh0fTFsR2t5N6bVv9JH9wmyn2rNWG+aqJ1PbrpPkMiIPADUL
UyZMwkWIdzyC6TeqlV+TgNCM/jSXiCqa9I2Rlk91m16UKrMO+f9h7zy27DbWJvsuPcddCQ8MenJw
vC3vJlhVZBW893j63lkU7yX5U7qtf6yB1pJEVh2Hg8yMb0eEPWxSUGaPpM1T7SqnRtG4kLJoaZbp
zRjm+1KrnzUlOcYDMemVlt3pARVjbeh8MSCGaVs4Ez8BnB22doIBZIq0la73OmFKZhjPJ/z8+UKQ
RJyUpNXpbBiY84e7LiOBY/SZw4yW5qyyOfgyjxxEfUEpb+my5S0k8WW6ecgA3PzCLL5ecDxJPEz1
zVIPx1Wntks7m+4D2XRAYJ7J5LCPvYkN8oJIsHNrDdnSESY0eECahyDIboz4m6Q1LUKGTzaSspcI
aQEyXYr/ZqPfkPFBY+QozrZJgGfCHprpVtLshWgPVjT2HnNpjd7yRlmITHuxRhWPz1TcDjIM0J3o
SfHzxl5U+OFdgHl2zETeNrb9nvnBV3aUqce3y2tjqi9jpJ7OxE86UYqgCgydXTNlq4I0CznCcdcO
l75QjWCZi7ol5cxsEbcURuSA/DEb633etMXdP+vHt/UDkesv1o8CzOk3ywc/9H35wN0mA2JdlgkO
HaDHPy0fWLM1RFzO1BJl+vfyQXAFWp7h8uVB1tMlpvzH6vEZaUGeJvZsOBs6m/6WA1sm//28eBhy
4aB5ihxoLHYOi9uPqlFVVMDvYRxecXQ0nW31GQ9h2heV3AEu9+AzO4KAyYEgia7E3o9dSyZMTO3Y
1mvnM3li+EyhIBt7S9aC7r+WSRaL1UD1kXLgRZOOqYKbEE47K0pwZSR5RHdgZYRl76mdNqLyzeac
Rl7auL5MO8htHavbZGGl4a7mgjjUU2ezP6yjKtzauEyIz45NZaHTtmFuq6B2Y9L3GtaAakjrS4AR
huGLPg32KnAwwywSx8Lq1HbKu4lldfPPpf/t0ueq+6tLP2/f6/fpN1c/P/f96ielGcAPLRdtmrgB
g0v8h80TIZBoiX9ITVya3zdP1r9cFZsFYjZzh/9c+7opo2FdNHsJ4X8Gyv4NLYki0F8vflwcsnXN
YSNGTdivRdFZSQT8pDrWOdPnfk2CsrEshP1sc8Mv7O5RI8k0ma99ck2xfqw0ck67Nrj3ZfApJJTu
lYzhKzJRgXzJR9WH5D6TgamqjE6dyFDljEcO3kBzFumqIiBIn8YVoMGa0EQZwaoJ9UWRoayqjGfV
ZVAr7R8+7sYYExOpf35Q7/OBkWWsh48ZHEc+uc8zrEdaOrU3RNUraVfXbqi/1pb6NPaT5sH7nHCd
FN4UJnCzVXxATgkWJo3oj5NwXiJOo4eccMaVOpCeKMr4PunSFzHZ887IAHZIKYG5m7dzpb30TXZ2
cyIaLfvWrTcJCS+VW7CexsN9F0bPTqRsB1E8NrUS7G2tXLqN4WV5T2Q+xbyUfo9TdJZ0eTXR2MmX
+2sBP0ypEoY3azi7EqQuIm1nFGsoyAVNj56m3QbVqYaHapPnSgurBU9x0zSz3AZyoDegWFqTHJEk
1iA1DH9RmE3Dfs/NPX/QoRKUo5UVw7Zo7d7zo241FDE8lXXE3jWvDbyqXp+m26pIv9ZwBMtW46wd
1mJTW3NIg2V3NTnuVsTQQMLv802YQ0RFQINpzuOlgDxmIKWl+k3MU7RsBCM4Z14WEBCj5bvSMXmE
1bikpXvOSmNpxSiO+POOQxDOxJUubXPGQWzAV6XCxK0kEe0AZsqzhp5svMTg7mZTnkeIYkZiFyLH
FLnAeBlus9Z+hcPbYRxt110DzkTIgqRIrwfbajxbZXZa6YRLxpVnVPFNrlIlFfLJKaV+b2LcqjLC
/Jm6OMdKUXepU5zKeHwhA+MhbJq3siLuXh0mfzlbFk5Y0si9qcbHlcTtrp/aYtlXyWMXsTDMnEa8
KMyu/cbQPZSkLRlExbqmh4tQGGtYkAimaxF1mTaYG4EHRVlejDrEqCE2lJ8CekGMlT2M5pTqt/Gc
v6RqdGjV4VSQD4ZulO9xVR4Fua9a1s0ciEsixpy3mHYDNwxwBmuojU5zNzTRLVrdPYTCTuTFvquN
d2oFdwmRk4DwL3mT3lsJglk6D0dDrw/0d566PmkXYE7XadZvRj86Gp2Fe46jvlvsVDkLmgwWlnAf
GFBu9aQfynQ4DI24EqGRrru5poqnfRpsMlYbY6ZtiI67TlbOzva+drUbMyoPSdRvjWQi8C3Nul3c
axdD1KegtOHXethWQjyhZW+bonmkKeZAn+KpCw0y1qabXKSYN/jSJylS0RA9Bom9MYNim1mRs8Mn
urH6QcYztic9dyOPWhJ268EOyvo6U3r8IaLywq7ekSv6JMYhpeQvTZeu1t0MoXnsCHZazDaUFsOW
JxbZrd1RYUMFKmHwdJbBpOqp9TI77mZQ2LO7tBdF/XNOVEVjio+5CTqc2lRy4SOIBFPdhT0reXaj
UeSMvjuk2topTO59o67vMSPPK9pWD27QHTFp7Ai5bolGdQ8hYprRpwc/mIYFPNNp8DEuR27+1qNY
o7GkZ0W4m6pwz3WOP9gZxnVWCXUVmepDpCLFqsajnigEk8S3s/wI8X29lQSGFk2AlXI4qIHyOIr+
oqvqWSR4HC3E83oaXjWFVJeoDOAZK4qpWj6LWjXXeRdEm8rJXkpdP00urXCk2G2TIt4kOUXCjaU+
ACnuq6ZfhCFn4Ea57nExeZpxZwfdKormtzi1b2e23MfcrMqdCPybMstPioyY8at0Zczmi1paGypG
kM3xw8StZRATOmrbBIVO04L3hOIkdkGFOEz2dMSxpq1VBOO1iPSNTfAe6SRhiZcLctIKxBbB6KkZ
otuKBrypC+78utnmCo1vpB0+5EO04TXfEbn72FYh7enGVZJAj4ne02KLfKds3JhGQZttcBeJuVk6
Vr9VUhjr2dnVjUX9pLqtA5e3Rr0oVZ0vQkYSfafdkkHurATHzKVTy6OlSo6sbp2alPV+xUFHS1fd
UKE8ZlHLzd+yD1qO6Js5ab8OK4t0LHjpyOn5dlLdBxi/sGpeEsewLT1KGzvI3StcRQxokO1XsxJV
C62vogWC4MiEJnvrmdsYVh6vWWHAplEwaRCQB6WA43y79UNst2NKNkvRu/0+TkfkUGX6yGtKlPkW
L5IppwM5rtUFJzRnZabpY18EGsHHFk3XIXYWNWxsZZHFVubVWYAs3ZaXvFLbp1i1MWiZc62gZgzm
dTOQIJw6MyfIITUIckB+kdrynC5nVTlC3O+pRr7SnGRtjPHK1uYH4q9vgqqmr0XDLcAUQktJcM3V
6skfzFgid6tabUiqTsZNZ2Dc0dv2rY8JCEucZ8PXT/0A/o0tJ+v6desjn+vNHezntHTs8JU76wMR
7lv8Chdhju9+rB8wQXOwDKEDI8qwGoXA+9k82FF28qNU9yw7I50B7LCEmexYotl1g6zW/iWm/y9N
ipu2kd3U2bwrA+tojtFWrZmjJeUuc4eFWYiEeghyhqxYv3aH7LYlpqkvpmmZ5fldng65lynJgS62
nRDKiT4Bj63QRhurXeu7THvo+LGrAwkLj5ahH1K02VpnpdWddeKUX+iLW9Fjfj367BQmENbZJ9YS
t55Zte9Z6B6VnOoZLrpx7A6dm36xdBEsGqpu0Gtvao06CS3yXCOmnzbDLj6K2yZR4AlzRfEmONvJ
DlYzdkO/x4goI4U6FNc2VrdZpz1BJXhprI5rkxBrHc2HrQUBkTmjrClNnlKddmzCnhcDmpWbcKTp
gnSnlPED+Wsb3ZmvRE+WZNKqd9OAoBSXjwU9ThDaDOuUPvrq10XvUajbIZDo58EUZz/QSZ5urRWa
/Mrw7U3sRjs3Eu46CPwDxanv5WSe21LlFQ9g95bGxRIUg0l8BsWPIbHaK3+ynEuhFvvcoGYv5RQU
tuI6NZRj2pI4xPBk3TR4F3wzxAlJM9I2nKxnc8Ag4HKnAfccj+PoQGkPxeNI1QhzgWdNo0GnjKon
AXlLeF23Tpo+hc3kVTu+unXlrQdlf9EXlI0HdRp7yGmnEmkmCZT5omj1gT6qaqnBeTMQyz7QskjN
myq8Y/zXRPOB2le3QTSWNIZTk2sDeU9td5xruWqbxtOo8kWLEWaW9QhyXU3GWU2iM34+z4iNcGeH
c3MkqVvGEemPGokD+4HJqtukz1gzjK38ulvkf2HXYDUHB9GfnRCnY2lcU68ZHV09p5Oh3AWluNMI
E5gLU8CGd/T7FUuRJccqoIzdNsg4NrMPREv62XWNjjfnLmmLfUREQ0JLZp+ScUx0zNOkVjfuSOp1
XtrnWA3IC48ZDxkTwfPxQ5W6z8ao34BKFgdTj3MiCSxCllrjec7cnduoCh1NEdWEPb9YqdR1oUZ4
TXOj38Ypfr8GWxDRJEYm9NtRjTWOEXVNiamTToZGQ6VuKStNjfw59n448V19E5n/IjeJRHXm+ZZG
M4+KSgGu87N6oEVCjJqWR5e4hNLIT808Llzj9q8f5Gd9m4jizwexVAbh4LYcJX9+kMQfa11pmugi
pp2SE2wbEm921w7fFKw/BW05if6ghPzxMDYijSFMgo8d+TR+4AN9IVxOAYKNu/YxFPeK/l9o4d/8
fnQe0qUMiQGBT/z8+xuqcIrCytJLPnChbR3/9a/fpt/9ftgZ3iHeKGmC+/n3B7bsLTWr7MKwOzOv
zD8CrP70/fkFpv32Mfzw/vzy/A0rUWm15f0hCULJvATXrb00cOy+p/Hyr1/Kbx7K5tgtWSBKzk33
l48idQAOqCBKLiLegm63YlFCCxgeyzBpLn/9WPJp/2d68vmx//SxoDb8+LELNcp620rTS0mlScOO
zuOrxT116td//UC/e1E/fv6/vKjcjl2I528PRFlsTpFcuGYdkUtx+V+uNfmkf31RSHqEYLA6Epwl
+bcfrmXdzLWChTe/NPraT1/7cWX6X/765fzucvvhIX693ObGZK+ERH/JndfYfzaU/8XlLBMhEUFh
Gxm+/fwS4io1W0PR8kvMHVAn4Wj6X9y8cIkKS47hNN2Sg8If36RcydnfW2pxme3XwT53OBdE+1/u
Xb/70LmIkXENmW8mDa4/PgaJTHTmOHN2wQyDLQ97uWpe9+A3NEjr/+VK/s1jOYKXoamyKw396efH
Cn3KH0FRcurY2ZOsIukLXNkVVbMb7ebzw/+Hn9O4Pfy55Hl+71+/ch2/Q7+30+7r//0/f3ih+akf
BE/EU64rQ+OiQlH/SfCkgJPAaRA6h0Ys7gDfBU9aeDTLQohHhZeBq1yL36fFLm5n83O4S0a1+vdc
zVRfcRH8587wic+xuJkuN1V0V57FzxeJ30WlbvrRdInyK30CWdB8zt5j696PszYsxKRBa4BtUGB5
40zG21SmimfTfE3mJaHFRCORPwD20STuRRfcu0bFeiPG+ZR27gMM2r0+5B/4ftaVJEgieP60zMqF
01iaR0/tRmjZEZsRBidJoCQze11R4XNjMUASTB4sJrhrnXWSTKcKMRCkrNDMpyS1H4JpfiNPGpkP
7GUAfwFru6rBYSJ2nZB6zm0GKFMUY3D2QWeKoS8XhNEfVIdD00i4ZwZmo9PWE4PdkJ2/68Bw2N/4
uCDzdR4qjx2gDjbNBZT6mUVoPRshN2rb9lcM56B7wHzool5XDpZqHQCIHoGvtH9fmkS1oNmq6XZW
MoaJPlGgZePNFcCQGeuRR8gesxRoqpWrmM/ZnJDDNfg2Y0WR7u0icpewM/BJoy+DrOOlI9ElqIOl
C8xEiti80MGbLKyPnFDMB5K9SEkNqLhmm94FLUlsn3jUaKGT3qvDwEYPq3VFXUfVCsLHYxwdaLFB
LOPAg9RY0kjKYbiPjpz2V0kzbUQ6bueht1YdvtAFnS+bURi999mg5GMeNGymNbiK30t6lVIBhIVP
5GU2mFfieuG44Xf3bZ6/RNgqfRODdVowdW12U9cdxprgPCvOt6TxKqswKamNtfuTKwh3SpDWGJw/
Toa1z0q0zsycXivVrO6NDDtkZtyoJIIM5QD7M27GOPa3kelTXh/5W0wWhRdU+gG2Rl24Cm7CSZmY
JmXOg9Jjs7UqZT242kZEvbOQZd2OP+xm10wWoiipcAlyEmdAroiF2URRSBK3Da+g+Wu9w5pGiylh
2N3DjC6QmtpHofOe+THnHgch3k/ucTk+BxkoVkhJ89g6lLnPT02dZ/z6cIucZ3skD67ysd1nnc3V
HM9PfUs7o1q9tlO0InLyQLn5Uo3KZysa2qWvI9QlgqN3Wqd3nVHfw971i7IzGp5acsBovyolptba
zxU8wILOhlMNRTGHxkbohKfho96ICf93172YTnBD1vHaVvML3rLLWAqX79isHQneIiPHyo9Uv5w1
PVgn+deE4X/H+WLVDP6miAYZUWhQ125OVxGpsI7w+T8DiS6t3TzNHdW9kBWvmU+WlymS1hMNIXop
ICrE6h3NCMViLFI6qWr7jkijAz7J59kJT6k7XusanTsiIaOtcr/6mdhShcFlZFc7VB0uQF9aa8cV
xZN0dRklXyj1jsv4yW6ZDqp+cW4j67px9a/uPFFNq9AH4SNAZY1qSBTWJsksh6CyQsT4FnXHTMb0
akrcm4SgGnkwrnZ+H4oVnUqEC1nu2+i3r0laXflq3Xm+bfrLZhC+l02Vu6pj81A6jXE1686GxOIQ
1kLCYWWufvElLkb3yP1cFEd9Dt5UNAsaJ6ZtJhGzNtHOISTLoinDBjcyghIRNe9Fac+rjhAX4nJK
6Viv3EVJeOOCgmmm+xJr8436OMO5tfBuEdxbGLY3tQThxEAHCmTcCCEHfYboAzNXtqFAiwKjw9Ow
jMOsQw82vu3J/1ny5Qr950v+pX7Ng/ffLPn81Pcln8Ycg/IHln3bMdRPCuz7jFN1/sUiYGqs7g57
QOD3fy/5+r+YYlqM94k/+RZS++8lX/8XwWUW//BrZWz732rAZI75y5pPvaROCK7LCVYDmHd+2YRW
FtnNAwWWYDoqCYNzmtBvRtbiQRkrccjthixBRUzdixGH+8ifnp1Anb3Sjr/ovami/ZiDTWwTo5JV
pQsI87Ii2j+OYnKbrLB4IAzMmugtEE0gp1mQq2Qpa9y09frVSP3onZ5nn56z3JT9UbSv5QiDOffH
ddhFcbWiI0dzPchS8irrmByDyVbchZuQBep3LruEqLSI3qDDFrSr/lCcYOQ7DU1uRj46vMZNxFFR
j2VZg6LH7poMCZS/ibqEsMajjXBdzsWBycVpnodrVZ+PYQ/9ritHo0h3ahDuRsQRz7Rqcj1UxfSK
pu+WGp0zx9KwNqJUrmK+8zel7xzaMmQxC9iGBAgzx7wpak9ThmQ1WRR+1DRSUP7bXca2uSjJSNQD
E6TFhBjMPWJYhQEsBremlsjsSJ/qj0Rvb6NU3ApLzUwEoza/UqpkPulGwqijXAelFT7hZ/Ds1vH8
xs9wMxNFpRc00DVkj4O1ByutcBArO3YLenarWOawLh1WB7sioKCuySOueLklmTUgUOPCn21rqal5
eOkD0tiiMu7oIULqHJXixoI9dcn7asRUY2Ho8kWpqYwilRMJqeveUuGautK4b+gg5xZGOgj3tTWE
asRMOvNGJmMwc3b5bPodfYyqgmK5yImG85qJqfgPX8Wr/w/5STa7YqpzCDXXUGx+kTxiEQ4icanf
00RYrmlg1V7DifdpIIbqD3f0P/c/eXL/8/vfVdplr83/vP/Jn/p+/4PxEIQxwU98Gnx+qeYBYmIW
jPuRO6R06/xx5CHFyeCPqOeBy/jjrvmfIw88LVngpkbGxicB8jcwD4CSX+5/yHmcijldSQaLBMdf
LhMjDHKwpEm9mCkM6RbYT2P/XyWn2E89Q1Zph/Mj3y2A9zbdDIH7qERkQ2ehz1Aj2Lh+ykmGowUJ
BNw+i/ra6gvC8wWFdgw7snGnj81y7ui6U56LIMAVAeYfXNTYDU4FQdKeZWKwsVXE0aRhNE5j6Fd2
92jaHVtRom6eIarIEtSVdm0M7fNcZNuBbdlSN/sr9oX6qqINgD8Xh7kfmfczmzT4OkC6pw+50k3E
Mon3qGw+hln76ijMhIouCT28OreZM8L4jwS6TcpjPRPQP84VJyDLIcDFPefWNB0UI6GrGNB8zGFU
R587GPYw/qX54Fts8BcpsejVJbkV2pJEWGBLn3LOLKzp2iz0LyJ5YpcYNhaAK+SxSWKlJW3pvt3W
S856k+GZCbEeLA66jm4NmMVkUW/dVzUiy3oVjdDItC+EdFnQEoPNtOLIQlEakES5YungXPrZK6OR
/M3uNoEs6GtKIGQDzSS7aEAoqOaY0/q6L2iqoZaiWgDe81ZB6i4a2WgTym6bTLbcZJX1VMz03rCb
HVaG7MIpChLKW+lBGWVTji87cyzZngOdZJAvQ6NOTLVOKDt26D3mGJAY0cmXDTyD2zX7kAyLzSj7
eZgn4FyvZGuPEur+Rk26D002+lRh1XmVbPlRqfvpWz4+AtGqVS+7gNSKe2Uk+4EMYb27sjGoI013
BSfAGYQ6oVR0JDSbcXrl6EGyUj9bhxTOEC6BmxtDdhIlfWNunLB6z2RfkSkXw0p2GNmyzYh3Dn5O
Nhw5tE4vtInWI19gEm5kE1IuO5H0z3ok8sPZScvOpHIixaAge3HRyFqm1lHqwyBbloKhoww+hEoi
hUfflK2VrvjwDFKwzY8IQY8QqZBEGkPfsIqg1gvZ6BS7JUYj4vzfRIaTB28aWUYZHVCcoCxYaqOn
0lVWRMWyLSrOO3qjZINUHWskOs80ma5CwmrEapRtU25v1vFHSh3MlvY47brAEbXEgN0cWn8WMB6c
5Gsx3qWKGoDZpOYi190EJKl6IJ0z8MTsk1nmDsWqCel/6ZtnJage0yLHP+S4rNMZB5A+AymOBb1b
9hQ/qHlxFVdN9DK5zK21MAiZtjskZpXMpGbqfnOQBdOCYyT5rdq5nfUepv0LW5/1EDjkibrKxxC3
JEDm0TO5g3tQpidZ67XRG8Xy0qyWNxH3xFux6xL3o+B7qsg1tM2cO9qZryo13JfkGi/yujjjNf6i
We5jnyrUo9bjVTvXzs6p620xN7fN7N5XoeWvRIvhp+pqwPcpouIqmja6hjpArQnCAhErAytz7YQ3
gajNhR0Q8tmlenUwxfzKYVu2j2nbqAj3ie1fHH04KaNeLSegTL4pgNUQ3AxOo5SYIDCUt9hBArCS
Nt4Ges+o2Oh0RoGusbeIZFgYVkHivpm9uY3JPUt0OUO46qoYlFuEi2ETJ0m0D+AMODoGoPTT4PCU
OJ9PCtFLuK+shV8MwXXGCITjPOzFZ5HWLHx8ifJB29IMVzHVCRvRlNFNSuj90tFgNbjDdJsmtnAM
mqO7KQ11Ws1x6MjoqJQ7jD1tZJn0ym8inRl2ZlAgGVvwCOYH28h5mRjzDijjwtH8QLviEWd6ttIH
oW10it9Xuij9dUKm3Tq0TbFJfZ+QKXj0rWaN5jJG74hCGo99kJmNpsvY2JhnG2Z8a7WByL80JzCQ
DbaMoeQuJUiK3Qw5r9Sse1OWwwRkX6vWRomRW+IM12cVkCqbZ5ShcZvqvgnJ/2x1dCTxP9/qfOtP
zaO2+M12h5/8YbuDesqmhewNznxS0/9+3KOJ0DKwOmP1Z2gpnT3ftzs6SKssJBH/3tL8+7Rn/QvW
VTLeFgObzy7Wv7Xb+R8Kr6uZ9AY6pjzrsYn6ReFtusk0+8RRcCJksZfiwqXZbpGnFtNnieglVFUr
EtpDKLgWbJq8XgJ9A2TfIBE/xELsQUB/nAtiT0gQUJNIYCXhwAhKcIAWJJX+pRTVaer0HccJ51hK
sNCAMPRL/T6AOMwkehi0WEEkjGhCJXJ28Bi1NZ6vi2tXgouDA7ZSx/WjGO2P0bDGdTyUt5lsGqeN
cDUnMxi3glqSudWT0ZXdMlJLsu6VYR0HJdhWoZCLn3QcM+rNkChM4X0dIK+jGWEmInJp+gWcGziN
svRH46VMe2W6ZiV3+jXJagNxg4W0QmCNEiVyrvRMuJgnOKm561LFT9FLZ4UmPRbVpK966bpIpP1C
+jDcPKUrHWdGJ+KvLVYNFlQXyNUxF3p7phdWawobkwfeDjYJYB7YPWzp+1AxgMTSCTK60CKgJ0RL
F/3B8ptmX4n8Deo1rukqCwuxwlZMS6GVGdp1lQQJWyib/qOJ4P8Q4dZm70eurlgi1j7lRvHAglpw
2B2Lo8ijyVNsd5XbKPVBucvT4tyozSYDwkxdez+a/hP7dtTERJ9IeYrXXW6InYqRFcSrmeCNRgBT
C7ZBpLPu8XwenaCN9j3O61XJ20csmq9I6Da7MHu6w9eNxl7a+FlgvYxP6quVABjuI7Cc+pMLUwfn
NGvTtWjoUBNWw15UYmR1KW4DuDJfAmYz0ZEVxJkCE1dBoJmxvQO63iQ9TVkSUeth1Vonu4wuZPao
EYEIzWZkfPIDKG9sdpDM8aMJ9mYXtAuAwWWSh3MB40YAuRJQrgaYqwHnohajvCTpYsnUWZKum8Hs
xp4eCJym2noEwbMki8dHTnNjF7/HLJ19zXNTpsDEsgTDR40F209WcuA+rWYDKWm/tktPmEtvMskB
TpII1BXjNuqGt1xpVllzV3eq6qGBXgeghCXLVF7Oe0DuB+HGA/luYM/AhxF1wdj19VPUJC+Z5BMV
m9VQEos66CLt8iRaS5qxAmt0fbVYiWwA4J2ZrPQXIrsfNUDIolGWBWCk5phveikAvyUyGYSXAYSy
qodjCFKZSrZSaNO6krRlBFjpg1/GWU4HGZsbcoDeeklo6oN/dCWzqQNvpil/DZhzkFTnUGc7SsaP
vYy7k9znOOo6Ew5Y0OQTCwVcmfDbS1g0hJIgq9oKnmNQ0txEhqAO6AP/8xZy9rkBOh3cfgWNvYl1
56UFSs06Q/EKMFXGIXRr6ICJ5dMkOVYtA3IfDOvogLg6akUsnKRe61p/isBgB0LsUsnFFo5xrQPK
2gCzmiRnp7k/mZKlHYFq/ZxNFFlHlJfam8hJHmMtOQaiubdJnMRzIm5aAF2tTE8hOwHKPh+TzLit
JclL4ecXI5NDsfoUgfqOkvkNJnIfYjDgVKsOFVgwF8m+kJxwCDDc+GLdS4K46/qnTKuI6YVG6oGM
C2BjGs8OCjuLRTUoOwMcWYAlt9T/ZGDKAzmULn2xI26WNp2v2x4yys4q+uDrw1hyyToZEQGgz/Tj
vCTE6RqVuWtBoxuj3HOO2VGu/dCDTpsg1Pg6U7au/ro3YaeArBNga1VS1zP4ta/VR1xy+1xy2Q2A
dlgkhwhgewTcJiRD5zjBuK6ohBcDdxt9tM6BvXEcHCLg788l+Z+9iZzU/vXeZF+8VsQJ/mZzwo/+
sDlxVXgsC/PjL1o0mxOTLGuye/DjfCvF+D5+pvCTnYxm6+QTaeZPNclo21TufftlSCh/K1T7G4Pw
0/jZEZJPIlrG0OUg/BcphqS+jMjkqb5MCloiEQOdWgGh5068s2gIv0SGdWIQF54ts96QkGJeVwxu
6FoXN7pv3CR1914gPy/GMQSo7w+hra57MjkSLLVKD4Kbq0cnV5ezxmi7N0bm1/pREIq/0LvsjJd7
7Qf2sQmVdTEp11Yc3ttT/miOref41buDFFCr9KtP+S7pimWIX419ub4znfABatxTDHFNL9C5w/gB
WX8eiUFhtRv5us0bE0mC6qF7E0ZZ4RWt0np4c6P25HPybGv9RQ/STd+2+9y31vjaDr1Rnf0wPLsF
B1oqOoKwPHegjnqBAWbUHul13YaA6+40LZSkuMRqfCYIdUXX9LJq5mUo+mc3aq7CsDsFw+T1yAwG
BCno/rnWOEC5Hw1eBDzUQ4cZoNvPrvNKs++CpsPHOO53SuMu6Vy+CYOZs0W8zErKj8uaKmnqMPwx
utAnQaoNnpDYujebbDtPzU3mtG+5Np4VJz+HfnXsrWxL4PA+q6dtVxExG5QfdlyeacoG0XV3emDc
2KENA0CIb2vnHBXT4ZR0gNXqxF3RT171wrhxS8sLGT4s0s6+dEp7DLRsOQf9ribWFQr7JnbHnSr8
B0M6d119ZVFksaigmX3JzYe+qDx5A4yclMzwocLaMXX+soisV7tnP1pWIyXOJpjuWLIiIkZkw/hG
t4UrK48DUa2+dW/7jVPH2xj78K4t6jq+GPOMRTcGNNc35CJGa5fihmU/ApGDw22Kqktln/xNUrTl
PidZ2WsqdHE1VfUTyGy/7Ccs1enI+NnNocuJpY1vNFXbJBrR2WwLtnHO7J8kfOKGIwYvOU0nnpp3
pBKXNtMRR8ReZw/GFjeSiQVhuo2MqVoyMUTL161kPXdEoxZlhaIVNPdO3WJAttgZxilln84EakRH
t0mBkqtod4rmfykcfQnccZk1c23UyRlT97CU3dFMa96j2ThxPn1U2ETEp7prCYOfDLSrkuGvbgWr
KCuutSJ7IHeeUrq+acGHsUCweGErKI23AH/XQtQ5CaJN1S0bwz0j1MG4j/FXVwES7g2CMfqeAOFE
c96D0n3JJ+2eULB3nj9KUyEazNh6utRLFnWOyeXSzOMQvw72gZ5kozKtcXpElz7M9k42PBjj9NHZ
Yh+7zt4owmg9KngxgvAhmqGxs7Q6T/5QrbMeTUzrFOtUpD4MZkhGHtb4lRb25PMbNOUQPvZEzxjv
cpV9VQqZxDMO0gsQ5Os4GXe+km5i+hk9d+6RaTGnwVFfImG/cUh/Gw3IrnrMuG5ta6tbrNF2mG4D
p1aQlrHElIgAla5t/EJ7anE8yBB50o3MXRR0DenI0dMUQIu4ivEl8qtsaaERU6DxpnT1stGYsY2+
wHDoP+pUr3kTUc6z1gnPgLnXO0UjDaumbLcu70L25EsRk3eKJQ3Q0PefdCREDme+zfWlrytJvrvu
wFc0SiYSEfha1jh4eXr6RyZALXo/kFhJjfIdUXibVTvMLRbPrd8zDr+MGerPNHeISPpuCAWD7v4h
F2LfDv+PvfPajtxIu+yr/C8ALZiAu01vmEzaIlk3WCxDeAQ8Anj6f0dppK5Sd2um19z2lSSqspJM
AojPnLNPgFnLYG2XQhVaDQSU5Yn5OMX92a2SJ2v2iRrIMFuBUl8FYnI2njJu0iGwiAjIn9tEMC2h
i9gUfl0Mj0mSV7t26uJkbUhCikYELWsD3uVR9IxbipHgETMw9njxmAVXdbqqupJUusFGojTf19oV
7FuquE/lmK7/W4tQBiASY6Tx72uRJ1LHqdL/uQ7RL/uzDrFZ73hQBlA722Q9/SyDc37zSHv9MepA
zvbHhARjO9zc0Pct1JgOE0SGJ/9YCPF1k6EG/nkUdJDn/oMRiW/yff0qgoORHQYaVsc/dPDsryI4
mg/lNU1X3lVWLcSl+xFzMA+pSeYBywkCEJQakQxxCX5tRuIBJHmL4EseCVImadT/MtMwbOshJgqi
3DV1WjEeJ35vEP6t2VsNFyiHgqw5lyIZjhDj52Rn194ACz2+JceHiGsIlOssktdu7r8ZXq6JFdM3
URtym8huPWBMoFdJz0os1C6ExRp1c9ea0t3IxFm420h4ZNRdMJpueVIht2mHVtvmdkuZI+eygy+G
snYJ5DkevPHB93sCmfJmled6rdVMb8SUPheEAa2z3Hp03P41ZqS0B9AW7NHhe9cY2idULfBwbKna
rTXH7z67hD2KJG7csL1nmnmVglSqZLEf6ZWbFev8e2Wbp9J0v4uewMAWNjwBicKe83WLzUYF9hng
HH86PJRm+wpM7yiVtl7m8avsvNcw++JMWCyE87ULw6+t3V3bJX1xpfqai6Dc2I65bALXuzP4ZmkX
p0OZwDTLeoOxgYHscM7TR4a4t0Nt3C5OE2njBHJYmyWLi6/vmFnAA1wL89ZkijsdGXFu9I7INchE
j0nLzBIv3rN88nZNTJvXDCYhX+qZ1LOTPTUtxt/+FMgxg5JWXutZhOs5b3DK1ZW9n/tpH+C93rTp
kGCnLIJ97ictZjukE94YIcMebJPSgP/rzzbd6/QpCny8lcOdZw5Xk+zItWGEzb4F6oWzAvRenh9t
l8EPMZzEoEwLOgezPZaG27LfI9ebGy1aT4yP0JXeEkFi8yfbL5nRPnD+3E2xeYwzH2+xne3BpBFk
RdaTpSqkl95zz4DfLONPney/A0421vkCw8UdSHMamzDZBcPyWmUMGWIb1ptfvxgDy62im56NkJKD
lxbbpTCarTPmj7NhMzOyUX1alvwoOzwCqawvYg6vueAc72dlrwI5kWw6TlsVKHklRDXmXmkDhh0p
syat6+yHgYFUq977iLRY5vjRxmmZlTl59jIA4CrSZ6e3Cq7A1N9yr22EGNE79WBzwJpUK7aP9UFZ
doSwHgNlPV0EZshNmTHZhz9xP49Zsp2rZtn4dnmbVnaFSFR5qDGcdk1Snk6seM8Rxuhr7VFgX50/
crMpAai0D6Drts6s8FQTRBEwb6PH+aCnytg2io92Md/CLgSnVtzWwP9sz/JXWESTrTdTq81l85AM
3XshWCASXBLI5SQwqq1bS5kw76kS0ZmxjZk/7K79HBvDeZL9fVEbFwz9JG1V/WbJ1cUJR7W2TFZ2
jCPhNg25tqol4Af7/qM2iKcu1GQDlfPfU1izqJHNVSeNHLaxonOaAu/Us+xgrWcEeNrEK09dwENz
i9ew8L72rOxXdITphgfyGXeYIpdoGHbJMp56xqtktcUPXqLesxS/GwgEphJNVxB5TCR9J5qDB/ia
uhxGU6Iee5e1p8LSVCi89hTGTHoqt+Wmk9wSgQdQLs22UkW3UpMYxRAp5MbxIxtm0njCxzAiZ0wR
FOxVIaa6uXiI6vo2jq1mF/dB8UppkDKCHG8M07fJPtQ3tpu9kA9OxNI45Tseq3RWdvJFVYBABkEo
6lSdeKA/zEKOh4aGlNpquGcBaa8A/tEQBcE+MVMQJJ0jGIuAPw+qUxJ5Yp03Bc3jeJ+6AOHsjD0w
psuVDxV5S1ogrx3HRxeC42Gphi8d/vlVWLfoCio7QQDbGGsQKB8YHzkvkjbdByHZ37P84jnc200B
hkqUGpCpkC/h5qluTXZnq1Y2r1ZQRus+oI8tZ0TFWJthLdFro8+0925dmcQ5m/2OAI4vUO5e4AeK
9RSRx9bHpAzzK19x3EGMcBwEnMqMdyDL+EzxLh8ZYB5CvGOrmQKem8YFdSXGZ/I67ifORJhDlMGp
20GC9N2YKdrM5RZojljG15j5pje1sdA/iOwyG45c0WGSc2hOE00rbWM/7+kFvrnSvWNo/11Z/HWd
yF7Bu8ApbalDvaG6gdPRsLFYLpz/akWm9cG0rGNf1OSvzPawzeG4vDZFVhw7LTK3ufHZmr0YdDF9
2n+bmoKIwOyZw948px5FH+f/sUvjq582T0zKDljIJpLzRkJlBoklX4AGc0m/rWh15SgocVudl+77
X1MljQ1RkvG6kTWRvzJ4sKKy2bqYhvHLq2pb12ChAAhGR7Od3z2Di6FPRnuX5wH0PxboQWSc0jh+
bzN/E+eswFVW0ylKXu/Xd6QZWyyfzXhrWO5XAAxiRyv1Jkw6gqzx7szB+yTRnUW1FmXHzkdmQrJx
RmaJtt0m20BVQAH8AoGE12ktM2wdyPYQPdMZhe9ivXndeBsKohOXml9sa/DUTmYEJZnPEMMzsnez
si/U9QlpWFG2bsb6nI7oTmkg9jNG+vXgYEEezPyQxUSxw6nkvOtt4hxtnd2btcXWCwPCSUiPxOnZ
7kbLMcEhjuNGkk4jcxDUs+G9lCgJV9hV3XXZGE9JOz23YShXVRqu5VTckInmkmQZAE7sJPt7kTz2
yIC3UdEfB1oiQjvCZ1ENRD+yRHG6HpZdbdCKetxPztjvVGwUGzuvjgaVEzdkZq4nG44FlDgwudz2
bcIRkh0az5yQ46ffJ1TsRu19eKbxZGDLhQMGJSQPc9R0JXTewv46zu055CTHD+x+7dB1YBVgGxNb
JxKUEYwvhEkoL3+Jy5J2SbX2Ohi8dWaUuzj6giX1hsKA3bow5MoaslOtx0L1kCFSS5mlNi3/L8jf
YsMlKGXKniwCSFfwKx78MkQSwrxVhNOLouZi8rQg9SZyZtv0EJFmd0DBkjf8OIIRUzC1BHZLgbRa
3gXBLFe5T8wQ990Hjk006KDFtnHu7MxxeK1Hbt2kte5BSbb4gpyL46W9HrqDdcrrRy/ld+T6lkN5
qXhOt9VFiZbOy0PVHfRfMwJS18zuXxpF9lk5mM8Am05qLp5sgeVh6nik+uaXcWSrE0zEvUEqmTay
GG7qrt1VJkJIc2ZSENam5KrNvod6ZjPC7axV9X0pW2ZTSB3idjniJ31NGUb1fvZcjzgCOqo8P+fR
lzRcmUmIYkIWKd/k4O9N1X54CSWdLxWQXGq+MUOuWGSvA7lrEcIA+sf3KMi/ZP1wFaI5sZayNnGp
sHkj1EfrcCBDCF6dtVUuktKokY+qQy0psJ25xqaB3N+z/Zph7EPHTbYJSi3GGTetkkfMNDrTaqTX
zKx53cS+nd8X1eK9zsydgtvGYBN7j5GtHjdz4K0Hlwy1//agP3pQner473tQvau/GdLuf65fCGP/
Vwv7n/XZ4W/s6vFQhYhE6Stp935a2DsCXxz6MZM0GpM1/x8zcVhTIa+hTXQC5DXhT+2o+A0IFS+j
skNSqD1e/0E7qpvNX0fiAKjcIBQIyAGl63jMny2CLUdWR2McX3GprzqbsLr/W7CP8H5teLXJNXB0
o0uyBuZAfqhf36O0pBnWxaxuwcgcq2QIdzQXWbvzS3VRDiIkGMlzt2eGAiXBqFl8WzS0jzasKBJ0
gV1f/NYPu2MVR81laI2gwWHCiX3xPIPkJoHoIAYlZbGqxzmxlfVk1oc8IX4OG7q5V6pZ9hyo9nay
PGvPjIdpq5yyveOxVqtG7y7zK52VUxIcKON2nxoxtMS4lZmxr0qswI9VuyQfZdaPO+d3I3uAcm0b
/m5wDwv+a0svj2gg+eGCB07NBpOZb3PfI9UBHLfsFk7blaGSV6e2zolKWvbaVB88/I/O2OyRJtxM
g0e73Bu3QzJ+cnPnqQm7xxY8SVyNnzy3rFaB1/CgTcUND/JtLJobMDAoyOMcatCQbmLlnSfdnZhl
sBpjifWI2t5kbrnI+cR6863OMhA5hQ9dSjbXNvWyA7NmmiLzS+LlMyxhiOciguMZFBYKMkkuWRhu
Zxb0qz6kl42FU6LVVu4eUetybub6PEbGXpU5ebZpvC8Lt91AVKXWrLfNlF7KyXW2kQNWigXDflna
Y9SmD4nbMMus3GpDMh9Ddp0pDWe96lRLZlf5KNv+nDhIjaj3vK/zmDOTpV9dm7a3UzWXqrLSrRA9
kqqgIo0qOqq6uUwCkJlFNhyoC6CqAd0wOSTuoys4nxwl4AdR/lPchuhHI4FtaO4vjTdSGYfAinK4
L7Iwvwtv+IYePtgjGijPTkjsxCrJ3fS+rhgCWEqkLhgUlo6+ZZzCPLP2XWB+pdA6Lp5x21v+c58Y
+4KafRVgEYrygIrGusEYdj9WuHAydKxttO0AK5TelB8AFu2DqbdJ0OSDdyv/0Jnji6VdTLUbb4Ck
f1688SJNYDJpq05uYd4t/KWjxU4a79IiLESnxrvdWd8NQx2lWG6cyDiE/icVfZbBcoKaEuxcwlNb
332mROPwU19GJupDH/SIJfIb157v4ojTy7FzhG55+Iab6s1BOrRpJ+smFFW8nsQVAiIJn8k6WdDW
uUuzI9b6KVDds8jHrYphHLkJkMVRM0BTFkflCFVL5kf2gpgbRutTbSRPQVA+G7VOQJ92el9j++rU
hMZJKTJe0cmdmizcFx4VJpLKjSMtFBWD6B/ElJ34+c5uZn5m4oyC2SmQe0gkJbZTQ24VKj8oo7Tf
JBCS1y6QKU31PEfMHaL8QUU+YaGqsFDdRsRjpn2yaQxNIyJsFw4sqKzGNszNxG1xM9ZuejuIBZ1Q
0Y4RMzEGaNxhKCDByYZ6LdFEwZfFgwKSuN4ngwn5duw8Vmo1hs2iHtEPhx0XMz3POA/FeQ50cr3t
PvQmmUlOMzWbeKwD5hXZGU7NY1nnYKgmSepC3WGKCwVNCmgyRm3NwAzBV5Q5Adu1S1SjvlEL0+bc
k18ESTt4DeeEWw6tj3CfzLjO+RxnIMJzfJPBIieEMrqHDfJlUCFzPyyeGU5bUmYfNaDYcerP3ZDj
EckOY9Z/+O10Ldwlo6QkUA5X4Jud0YF7/mfWlnRfnb0SFjOJaMqoELsKISMylS5yN/OcAn73t1lj
fyu9XrH3QoFYjW8jYmRX9JDb0uFz1xOD0PJrzqedHfkvVtV9cgcWoZYsiUbIHlUx31ThdOgb1EfG
lL3EyXxMJ25RpS5jVO7jkmhIs/Ae+n65up33phL3VmZiHYjxZVpazL5wUHywiqNgw6ZMMA4CMZKX
f6YOJ38h85hHEaSqCmrZPkiPcaeorhwSszLXe8RtwidYoJaKK/8Jp+qpd+CBkhf4xknA1lDiWcLD
zFKiP8gsfnEp41aILw5u6Wx53KCdZVRS8dOXiX8DlO/Q5vHJ6t23kGosgmBfB/nVgXmKhGPV4awh
kTx/NwJjQ0b8YYAWtyKW993s8xOf9Sal8cMZHTKyme87yth1JmAvm8ahdb3PEYKJkRJV9ONjBOMP
ed6y6xCTr8o0uTOF+ohMnDUEn382RYZiYkkvoVvsm6h5KqsehWklD2Q4NwdiQzXzy0Fob8NpSz97
kTybLQ2Ybct+V5UmvaMQ0x1Kw2QVANyjN25fKzOJd4YZXE1Ezah2m+bcWX6sZzDlDjX/17SgTif3
zHidao/rZdGMC3SrK0ekxTdSpn0GXmXiIS6zLxOE69+FG/8WH/IvkBSCULQfk38ikP4ajmflrlWW
VWTcZhnAr095+EW4+59KwP8XO1AY/vIWfxnrz1zFXj7wFmbDlJQtcn1V2d3fv4emdPyjWvuBC+E9
PBNzCiMJVytKf67WbPJbyilkrsCQj4fjdekBJD0REf33b6MBHX99G21bERpMgWH/LyLOWGaz4+dj
fB3QUDXsPjsgYUbzPIi7ieGB17F8c//bSvyOZ3D4dP++lbi8Y7v954WWfuFPCy2T5C7Ydbry/+Hk
/LOJsKE34DJwgTLD+vi5ifB/gyRECoDneqapUc7/2Gn5v1mmj22N64iIAJPIpP+fJoKgARt9sWv7
qI/hxv56WXbDNDSlN0+sEO5aMoJnBk8/fSj/4ub6yxXp0pR5Prodl59Qhzz9pYXAp5A7gz8MV2Z3
PNg/GeY1hHsnDlbEJYmydPv372f/xbaqk09/fUf9Hf0EsbFRZaY8pQbgUqDqSYGHczB30iZBJpbd
/dTK4DT2bn3r5WSqdN7OyzAONZGKXEJjes7AuPI+Kzu0j56Dym5uoLFanSSpJEhuXIl3KrDzdd2a
pOTkH6EyXnX0mLTIlfUlsTlZ3OrQHcwjjp2gUeUJSupOGgP19PYd6dI71/UdLJqp3EezqtYp+Skr
v6UwqzChrCI7fTSmgOlP+hAgVoINLld+yqy6ifgtZbAQI+J2Gpz/Yoat4U33EQxgqgLnIKV1NxKq
YgfesTJRD+dZfJYEGw2O8dzialmN1edxce6UnxxGf+m2Vt/t0x4zUB2cktRVq8ST045mrttHyXyR
ELQf/d4MkSi4c1c9SgwiB6+p1xkIRyZkidHfMy7kC0PJcONaxOKmp52E0r+4hDJwSNHzNWgDgxvP
wwkiyhvEvkeVTxiLI0id+e28eC9WwRyrYYsFuc/ZtSR4w0X/VuBp2k6uuKhanEg+2ox5fdNHExnB
83F20juT/Koq4pxV8800q5shaOWmX0pzHbvTuRvNF6K8aTgQdJfV8uwyJF9F5ZzfpkN1V+X9Hg7j
bb7kJ5PMi5WqPfipPc6xRjFfw+FMSA1QnC7zn4F9Ivc1GILbZQ0FZJh6LBs2NsC0mW+KWcJ+YE9Z
lKhVpqtIgodugCJgJQWE4qTdWfARoyK9GyrjcRqJ9EGpuZLa1ZGGK7/sv/kJyknLy+5tGI7hULL2
VRbsVW8DfPC+HySPc+aQ3iT2UzvuTHDqPUdyaZkbKeXjUom7Mmqa9aTQBPdFPj6oOXnwIuvYQiAJ
6uAVhvpa+W4L79FAyJ+2HxW6d6AD+FFYhC5QU9jL0yKN380pPldsWBthweHzQ2i6kKcdJ6XRn6Ap
xHckF1yEy1TRLYF+uNvCr9aDis5dJ6ltkHwuvQad3sJp29hoUblt72eU4Cw/EDA5Ito1ofNJtB0E
S5Z+TY5Innzs+ZBPbnFsiwpYILxYZzZOebc8dfWUwCfqEQXJx2zEWZdxog1RFsKdtd/DIXvP/OAi
GfYzNofoh3Z3xls2lWs3GoPDj8fMf/Wkesr1N4de+r1t3//5xNOv+vPEw9YLFR2JBLv030Whf554
1m+cZuhFHZL9kHfwaP5jbBb+5uP3gOuOcs5xfhmbERIIy0s7tn2Hysb6j5IAbf2t/VQj6ZPIt5FA
+ug3CBckD+HX82FxkjKxZWpemd9hSS0XZlfWZxl/A3OywDhatRBO4MsOkBtD+2aq+XpL3JwHD2XA
Wk/j+FDASYGZwxjCUPsuT14rstsbiCpOFVxqjVjp/DdL03sK2CsLDJbepYeNEUEQGTsQFFc9ZRrY
MoRmsW5Aw24ATL5FUF0IfDi7eMoIa3tfIH9b0F8YljM5gweTuNWWPstn454eOs7uVQY7xor9w4Sp
HkVXrx/sb0jvnxdoMyHUGeFx8uVwaIypQrE/fMrxkawEpJo2NHYL5Jo05MnHT7avQ4hHUwjDMu1Z
FjL+JoBnOvYpoytjRlSAZ9SHjdN2iFxmaDnNZCsYJLN/XDRKBwzzOTMLWpzJOECfZh9MPuJhMJjO
CHW0fxB5vIepHh7mvmyfC5g9hYb3eE1wiqH5IKQ5s7Ar17WpLgBiXZSJvrF1YQD1o5GBCRjOAjqQ
F+KwbOAFzdY3BkOfYyhCc+Cye9FgoSWYPucmqKGicS7QMr87Po9NCvNnUn6wJpoAigweP71GFpEL
6W1NNR8yaEZBMG1rFpNDx2cWa+DR9Dv8CJA5JCSyKwBhRH4m973LUcmAJJ0Z4tRmf5QB9P/eD2GQ
2j19fSPN1t/aP4zK3Q/TcjE20zHrXbvfeD9szeqHxbm0ZbuZC5Fs4oSHNwsE7AoNGZM4pCttlTa0
adohSVB3cvzbxKADZ7WnLdZh3nwga/FWM6OBWduwfW3Ijt38wV9q4hAd/9ZIWNn2QPZxuBNEZySv
Bb7uKsDgParxEXkmBmpt/kbq/y3DDW7P6vvS8/Ac8YnHhFav0F1dTG0hzxk0t9pUTtyesxX4zNUP
w3mYH0TSvgW52+9wqxRwA4O3WW/+asEAErPhN85GbSebtKChDzeVNrib2upexMZt/FaM7MriE1zT
bwJbvIs93mZy5ebL2auqfSbrezJ+6PQx1NcirVceFnsmdZhFKU1i03uJ8JLtXb4SWNNLvDT3KTb9
WRjdzdS9Va6LNHk25NlAjZRu+KuUZiNtDAqYleehxTWSDpiIwlahQ0uYRT4Ms4yPeZKcF6+6RR95
UlX94YUCTwiSTXOHxrz9+t9z5cdeRtDx/s25krx3/b86V3jVn+cKQj8cj2S42i5B3xqD9+e54vxm
ak4DEcDAPwON5vkDF2H9hu6ENBzIBIKWSjdZ/0cdCEkC15LDwhn/gvhPPQruj3PjH723Plfg8gQ+
QdYulgj6ql/PFTJyTKcumuLOLHxEDwJpriWmT+wH4n3fGNc6obbvGODkBU/NdiY1Z8auHCyouMmn
/C4HPdsJnyjSoCJbTaD90vWqIzUC4fUhKIad10dbnNOHaeKfQLFXE8MZDtu3zu3XoMAQGTIM61Tz
nvioKvrhu88tM6F67w14UrNVXxolvnrsVuKZVEOnk0RhpuVwyOr2wI793DFqBpy3W+BeG04LN8sd
QUTLZ59mbbKTgWm+SPfoxd4L7gB2U6/YCdydH0UDe5MS0QY0Lx62TLeF152wSIy7IKpBUjHWdrJt
nmSPYPbqNQavaTvW6r7CPrnqgno3eZrpxTd3JvnIXvMYXzZGhejFIDMydIpv0BHq/Wyz4k5ZULNh
iJ7aQn4U9aA2ZjUZaHizSy6gBKWxnQMXqIt1Uvvu2ldyRvEYbDnGOEN7lhdT8dy7rXEqoUcDYr5P
WpYPVRCerBHzhu/2l7Cyn5pk2Nu9uqdDM7aDnikzxkE0HMAp0DsOu7onsqxciSB8yzLrYe7QEzBk
JFuLFE3yT5ynpUzfcmD3U4FtFG8Y08aU3Aicb1ljflBEeAeoZbjD0mHeAsOIKa4dAmOSlyTj+49n
GEYLIVxrDwD14DFlritH4APE0pLleDGKzYRYR6RdCuza8tZQ2lepqTrOhLBayYoovrl8UK1QaxnU
lPkOPOoYtUlTAZXrZ3CBEy7xNema4cYqc7Ev5XCVMmCsG/F77xDWWSjAzLJ+s4b0ps/SmzYFKm7E
Frsa5DikxwJACDtiZEoDAVXW1/vIkbcVdPUmdf1jYaCsibv01szkG3mC6a4pWMOQCLJRKBY9ao7V
pDUAVoG0yjLvbLtb1+5ENrIVndt4OIKqfh6McS+7Ch+Z3GH6hdJWph0SkDHcCm8i1KBIiMo0x1et
2OhGnD2Z2k9pPTPIRm5aefJqzvxUs38naZ6Rb4yPQV7seoIZltt+vERGupvN8Bir6mq51Z09RgfG
6VdUnRhedJyPTgUYQAvTiy0be4H75EHS5gJNI/QxnD0NTays+Eur0q3XAbUXg33aqNIcPzi68o0q
HcoC3cs4efdFoWifZIDxRQ1HaTTEO0Ou2luVe0wsZtALZsgWn5yDbgMh254lSrx1FdJNcBzTLjQC
WmVWNrFKIFdGeYZZQXwbQODuhiT/Jp3xtVmGr4s/IZbr8A/GznQ3Dxnde+phBei9fsvjaHTWjPHh
q4M87888ezTqpcbwoxrcIVXZH92K9m/nsEtxn0cz11I30bK8EthE4qmpYC/4ql22wYAgcRtUhkDh
M9pOcMAmNhOF4rhLeouCeh4eQ7O0+scpbA3nPKhBnicXk/Bruwh7vOZ9fZBaElhn9N1SywRTLRhs
IEtYKAg7LSXsc3USCHx2rZYZBoZ3dsnD27js8OFQeF8bwCy08R5WRnSKuQG1JiGqb2WZi3dytJwx
ryhu+eMwtlz5uY7EO95pe9MHiPOcpfnAJTOuHZzUACoQS5paNtn2rUK1qy5z3W1UGma7HI2lqNp7
IxrOZSA/j+mED9WhA9c6SUvLM2uCLjtHndiDuObElsSv31MyEVDOEG1rA55wtNyz76dH085uI3Sg
Rja/FYn9sVgIRLvY/cjHEo9EujGWE7UZIbUuu0lkpTngnZWZEF2tCKw4F4l/MfPC3IRIUSckqckP
bapWqTb4LldcjLeer8Ox3TDemoha0T3Ymwn5HOOT4bKYM7MmpQWDWX3wK7jzHavLPRmKPNsBKvpa
O7tA7mIRazz1+WZx4xdbq2wDkSGZMYj3DPJw4s0xlOiUYWcJcfgozT3F4raetHq3VPW09RH01kGP
sjfA4hNb/jWdqstQ+LDA6ugasg7uyu4QD/27F07zFtLM46wlw4sWD0daRozx9znSwuKBxkYW8pQZ
Od8j2uNBi5C56wTXwIIwWUuUW7TKSMOfeUDvzLq4ycukpxVzDg7qZvZEeyNF7jyie24m527EmBW6
8kuqhdEWCmlhsm3VkmmSwCMchla7dtFTx8bIkaAl1rYbZuyac9Q/dEpjXK2zwG72nZtO61R01xyt
NpXIrrL7T2OJFykHXyu0rHsehNrmWuptWkGzCXMyG6DKIPXWknAvH/ckTVh7tGvBsecDXXdJcTVr
LaJEUz5UVbtqvPDkozYvMJyz8ucQ1EJ0I13ivTFZRGKE3nqefBxr3Gnn2LLvPC1lNzoskX1lkuuq
he4j/BE2s1r87jtHIdK7ZMgY2Eo2RBXTMB5yPOBQVS2lzS3hBnd2OyKrtzANeSjtKxm/QJK/dpX/
dUGJrzxzVyPOlzkifYB0mx7ZflTWr6YMDo5oHyfGZU5msLlG528WydlG+B9TxQ++/T3Ml1OMMQCe
JZaj3nystGegMlxcesR4/bfs/r3sZqL/N2X3e9W//8+6eP+XMx1e+lPtzbPAgjXiYhP+Mbj5s/a2
f4NOIuDFUwD/Hlj8x0xHe4CF53AliB+IN7ZRfzhzPKRQCKcIgWDsBwTzP5NCWXpm80vtjdQK6ATQ
N5dan+Lp19rbt2KrKFpXXu2AM5mKTVOjtY1NPyFtFVvHKcp3BcCKqqzsGkdl8lYCs0DlsAvwwvP4
uPWH5kg65HUx4B/hFkXj7subQpMxmJR+mkFlBOgQN0GHPCIw+u0450+/x9z0CyZDTdmQmX+vYpCu
q3bJanNLdArJH0wmkBkR8rrotFcsu+M+iRKQvS53VWX2BHIRD7tkLR6ImAECk4QlkggkdJbs4JEq
ywwADjPhJfMMhYlIb3eT6BTacTSfRx1LS+D9ZJNT2yPfXXs/smsJsSXcDj+JzrVtdMIt2KMfzkSm
XlX2NUxxjs46EXcoUQsUhOQyQo6Ohc7NRd6+lZVh7hlDFGfXNaYbYvjAlBAsvBZt9pw2JZv0goOa
jcRVQlvSUbyraUHW7w14wRoqyrx59lCo1Q3QD8r9G6HAYPOA0Y7CathURlFTHpnNOmz5TPNmuNQ1
tUk+y2K3jMa+bt2TW9mfymx8CAE0aeGCC5jFOvhOQz+Tp99QEF/iarld7HLE7iqoz7L2tegBjGi9
NgzQmyEJMFrg6lrH+bA2FtWjNCajGaG9w/QqczaF7TGZ8e7zaKYum7qJ2i7eNqjqd5MhvzY2aTu4
bmEeA35rjL00y5uyTK9smc6Og2qhFN0ZxxfpPkN316RevwpyPhoT/chWsM3vGGV02bBvmEj5boKv
O5QG+ulMUuFWG+qIfZsZd7mS3QW3Vb9yWxQwQ+A9sBm/oMHT6WPYN0Qp/DXC5Rqz9wI6U/Qd4UYm
MQd0hF3cPamQdIgxqy6xiD7PzTjvCoxZMUrBjdubn0TTfM6cxiepgnlR03uM+uL7GJ2QpbRtWuHp
Db+13gQuZ+z4DDvvGDeptcJSf9MP3TWVXWPcS+kXy/dZFfnBL0uOrPoThLoG4t947rQRuEIcfMr6
8E3m5gN91regntctBUW9xDvWa5u6m0gcZ5Ro2mdZJLeplCeVdbeVLO7GCmlP09F6FdEwHb3I/UCe
NbBYmxyxT4fIH6nKxgWjzHKJGxZVFrreXayXV5Pj8b5ij9V3P+n1FrBtMHDOXeu+dXr9VQ7hc8Xi
pWAv1totu7TePU5szOJ6uRsWG7c0vlU00/c87PC2Em1nI7lGIcfVx/4NNfkNUwUmouivaNkfGAis
ozl+XGpFC6KXeIle59ltz41S+tU+jC2KdL32c9j/QTyND41eCdp6OSj1mtAYuHLI1iSHWS8RS7aJ
AVtFX1Qfki1jqdeNEGc/LVV841p0vkqvJF29nDTbyF/5Wf0lGAzgKnlyIaOIx4Rp3pWShhN+uHWF
NfbdWZB1m8v0fegMsr499cD0sT461fgZ8c6uEebrnPqXoGh2oZa0lyxAEeV0AsJZ/FIpMLH5xEom
mLH44rSr27swJa0c/s+it1JuE91mkLY3qZcfJHmjJ99wnwOs9LwzpXQoniwT00niSnh1jVWDAsrU
tjHsi+I2uPNl+MB+8aAKkcIMGoHnkVBk15m1SiW4bNfvN/ysaH5yPCohEaZJw+S4J1CYxq/YYg/5
iMOvKTP4rncecj6T/2XvPJYbWbZz/So7NC9GeTOQIgRPb9uwJxUgiV3e+3r6+yXNbhp06/QBB7gR
hxpI2mwWgETmymV+wz2Aw56HEXod2xdJrS5krN0IYZE+gdBcTtqxC6ZdGy5pvFLshDGD4lp6CHgc
WPtiZhioABvemY+cC2yToD3WJYUGvKcMK0Ptr/oUuZgkp3ObBQpdhHTlYGDFsS29wx5jTleaRTY6
9YCB6QdYPxAvCvB0pV3Zw1b29H4h+cW1GrhLE0VydBzMBml/QF+OV91Hqo8BQKUtSwMP47YoTpke
UAuq+XVj9Cc6/ISppBXLhvzPiPIz8GfxYa502KT2VzIcTCxlByA81nFWOCtJkbobfxyaRdeom8iB
To9L+CUYpxAqHkD1/+RTT/kUXb3/M58qm3HLiIy/fJVOGehLGkh1kwHZDpnWq3RKo4UItpyepW1a
/NXPdIqpvYASPbt70+V8lU7RgFRF91HGK+rPQCGq8RZ0xZMwhMHyEi1xhmXirbxNpxxXypCqtjEt
RH5ioQz4GpZwXOAGpt+CUrPngMAVsEVlxB1vgQ816sPCUP5uuRgnWZJ0RzjLaSjhUhDWcrPyMroW
rAeUTGAUWdogGkYZF1rhXeeWKKgJf0Z4FUIXAc9GS7g3SvngXPhF8sUobSqcThvY5jhVRsh4eHVG
m+sb5oQ3XMPpuSUExTIhLdYIkTEZjPFRgu6YqyN6GjnOJbdxP4Hcv0HxrVl4CG/fpJwKQDvHYd4P
Cxl2llT1VyQq5704SJSaZy0nC6j20hBHreXMJVZ5jbMCSIghO63EsfRqbRlhAIZ/QHUP14NWree1
c0scZ41zjbnHte4MC18ceAYHk6osg8OWWKAoEIe7vjtrhaOdPXoQSEXs6JG0FdGkjxp/FpfRzDHG
K/cx4ojYY4koFAe0yhICk5MHR46IVDSh5iOhKxQxLBDRjJC07ER8K0Skk0TMw4crmDTIcTeEQ03E
RRixU5rVYEEJmaiGXGXVg0ogtXhcIyJrIGKsr1Rrv0n1aSXir04gDkVEBrirTIChTTIRrZlgYSJM
ALcJ5PABsosiUeg2E+NlEe0DEfdBNanLUVVvdHEnRK0zs7kksDpyjsiFkIzh/jC5SGRxo9hk7BhM
HsMyvui4cuoYiUyuoEzcRYoRfHPE7ZSKe8oVN5bD1TVyhQ3F8B2dkQUpwg9d3HGJ1l6RzDBK5frj
lXu0YONNK27GVNyRhTJchOLWdLk+HXGPtlp5h9s2bZlSUVHZAA/k04SeF1bjGLCAK8Zz48IQ+CHk
KOCVtpJ1lAt0Uf8INLIeQUdaXkgTuBUkP3Z31Boa/D6Ldl2/qjV3MRhaN9Pc8tbR4dPpQwo8KOcl
UDLJm2hVdjCnGoMltj0X4zR//KLlmTKBE99Ntdy6tgvzuFaGTewX0QyY5FXs+t6xOba0SHDngDWr
OPBnIxNkOo4nD+GYO0jTWA+9RSMADhtDthbnskypLmuoYBzEUxeQzgwQcQ4ri6Q2QGuniOArZKNw
yLARTOwH/qJv4eJ13rAIFZfuu3sRY/k505NaRlqlyaZmw8QSkYHjQk3l+SibBY0cevn4cFtuetSF
ajULXPU2RP+W2Vtdn/i6JJ9qXWlsZNmNbjJZz1dxawNaVmIfYOp/bqen24lA/ZvbCaU/xBeaLXcT
f/fqbtJhAuEggeo52ERumX/uJu3Awo6Bi+ERoiGoVi9jNhXMh8P0jekMd5qic6P9HLNBCha6GXRT
RfPA+hPAomIxsHtb6utcmOBEZJB/mGOYXJCv4X0KFVYTlWZ20Zcy7bQWCq4OCZsxfLfyLfqO7YCX
TyN3ADwEq1eOE0ZIJg6zh7EgAweJW51y/5IAaVpxHdImXBl9U511kZs/5DUgdUuQk/3YGgijeGBM
cwBd3GaMfC6qMqnPizDUbyXZrBeKqxr4K7gKfr2pm55FXu482BIk8T42zj0Fmonq+d1ytM3kCzxs
gzk3l0inGs1pXfkWcmFpVkysRooWijFkX7VGBi2mVeomM5r4uyHH6coz0NtKc7dat5ojz33ZxgOo
dLqlFXb4APttftkJpjxiixRBXj5rEWdEwlHC6PMeR2tfP1aghQ/9AkJHs4Se0kgb3XNC/wzhwKZg
YFWl5bnlMxyyPKX3r/3QoafbNRAkR1qOVncG5RwavOzp3GTIYcPSSCdxm3eg3pkZBMemlDIcC5p4
uAtbtUD8FClUB1DlrdnF2nqQLCODRGWmC7JccBsNclR1l41r0dChcYIlKALhgDcCT3FgMLfeHTsp
mMrpOK7dyh83ZtB/L6VikXrBkWRxmSQKE4zOQLZByjv4wrbSDMsIsgYNzno4ibIe/afaibj4kwwi
UNB5waJKao1uSIu3GB3Yb7oVcNc7yheNduwqlwCA+3LXTgy7rBGjr8xr28+Tw1rC6AzdWvOsd1B4
ALLhyFQXBhT/Sk6YNcXOnWR10pEW1xbU1OQ8tBVpVtYtgkgSicW8i4uinuEYj8iZlOFvlbsp4vl2
xVRgNH94dDlnowN1tWeIc2KFkOIrxkG3imtl024ULI1ozG7HppeO2bwIN1lpdw7S1P2OTWD3JRXc
6ibrQY5if3vhC1Z2inhwPEsRuqggKmAl0qKuXzMeNqqZhywdRGd0zFZqS7PVpKSOUdzsO+2SdA8X
XjkzlU0umOyFwOs5dHIniDQZ/4nFT+hxHXzCb2JxFq/TLdBx8VevIjHuuIoCflp+D6RDJgnEg4Ye
o4aZiSggXqoE+0Bg7phpAF/TUHSkFfpSJdgHOGlYApynI0iggYz7A+g4NNj3kdiyLFB5ANdVwrAl
C87DK6A1ujphyQRjOLdRi7igBZlcobNsfc9iXT0auii6HZTaWth1K5+Sh7nU261P5taOXy2nq699
OYvhFSpEDydz55ZUlyjZFQgVFPJZHPvOaasp7olhIBqk9TV/34KwnzVjbYOOIo2SGNf36lhMqtqv
V3g7R+ifyYCF0s6dyQNMnDKv+h+J73tHwJbHiS7V4YycBPVjqhugDMNXRy2mOBSuBzexjhpOJEFS
6o7TKMPDK+v6KR6H7rSP5XNw7Bn1RRRNHbPAiSAw0GpThR2AVsMJDUcxzQrDTT4onX5Zp9BmxtET
moa3fu+5tHRbtHFpi2XMcJA2QaBndDroTZZ64SnedzkaMO3SyoWep5cGsqhzpDmkZW1649HoNdqR
78vWPKYdq0hFdQhm25nJPg5uUZzq8xbPw5WptDaaG150VCQ5gPCsvRzLkK5bXKHOIRkjOvYGDUOk
NFTPOQs1Qm87sDpSw50V4Lw0SwJFOa8qFfSJ1eWHhV8doS35A2xjP0mwGRLI8nCueKjBesVYTzE1
8+cMmcpZLEXywjWVVahLqDiUHtK47TKpI1cIvuVrfF/D077WN2hSIkcne5CcDPLNDrgLKPVrU6Mf
YXnaJOr7pdrGX1VAZs6J7qD3QfV53hbKRabaX2WvwiCPUVJOe7onCmNYZMxdVP7IJRHEQtvNO60q
xu9WmhxXmrIxjKxZVGZ33VKQUra2kXDLo9GWyOeW56zSJFu2mnES9s5p3slLXwEyPsYeViGueQG0
bjF6wXkyBmjD1MnC0SH8j8ZwajD8ziPpC6MR7v9eR4obqYWxcX8kanmnddC/HN++x5pxiR/el4L2
HJp6OQpdeZUweFOH5KyIKIymqmY297ot+G+aASvSzfoTp+POpxYOohPFBLgpVGyyo9xxtZmFc8OJ
h9bO4X8S48fE2GBg9OtgfLPx18n6Y1os/upVMCZqqgYBl67MIxX+VVosm4Ro0SoB2ywAxy9psXyg
05WxEYDFoxWexs+0WAPwjBgA0dh5jMUk038QjA1FMLveTMCEOq5ASQtCD32Ld2lxGpMxx7yN8xZX
1WoWasjpGzIaoamEtaAHzUPHqUyMq922Oey7QaFRA/NVaZ2j2ojMaQ6ObOGFw40tZXQVw4RhqxIg
R2cm87DJ7z21V5gD1ED8l4j7N9JMk5qvlT3qVwNKsUuzNF3quIFJSm9RxavaNLfa8hS/gWZieKqP
JLpyV2MOJLtNvcq7FLHZEG1/3D0ivHzABCv9JTNv87IAycmsprNnpL+oe5M8T2JHdGMaAHGDkzs0
sBP0bCL0/BtppYRYrYaUqxO7CR6UVO2RD20ZF9Vp2K5ModNGdx9ldS3yJpGbKueuGmI02aT8N9TJ
Vxaqq5Oclx+FJUmJMiCvglDlKAxL6HdxjvEwifEyCfE06fE2qUuaVZzgdY0UyLEpDFCyujWYoYdX
GWbg8HuPWwlz2tLUkERPimE5+gqBDE8Vu2G4Xz7arKCll4/VtYP/CvBA+9Aoxouyi4aZhkcLc5r7
DM8WbE0t9IX9I/QgLozavfFaNE86BEZbpHrLXD+U8X8xqo4Gi7CEwdrHYgCSfQ+7+Ai529s+xD5m
wEemF4YyTe0sAhxmjNTZ5MJyRsGuFmcXlNpTk2XBWIjxkvCpCQJEfyPhXaNiYmNjZsOoKUHUE/R1
nBr9nAsYaR3hfjNW1TezrW5tE5SZrmbzyAtQS/IC5o+Y52QaWsaJ8NPpbdObVXJ/k/HVx4/Qo6CV
kZQZsTMwoftMPb25yAVWSRaopRL4kp7X3wndDwkA9IWrKQ+5QDohxSA0kVV4T6CgoPu2C1Mgo8ai
wtWI7bpsZAD+8iOEKhBoqlzXDiWBr/JIXaaanXEQAF8NgLB0wFiaQGU5yFDNlbBCp8rEGCsFtlDJ
QzLl7OfTXCC7Amx8TN+FswNgEmQNZwTtt3jSCkyYi4ojRYA26YCLeS24Md/uzzWAZCqAMh9gmRnZ
hxJAs0Y9ZHTmdqcOz6z0+joXmDQTcFqUmN8sVAJBDcYMtMJh5gJkixD9lwWwLa2/WwLpliHYN8nC
3JlXllNOMweeWx3SH4vyU1XFt0ZKvlRA56LCO6mTPFkpgOoC1AJUQHZ60wHuF7i7su/Pk1gdj2w5
vvXB6BkmdSDCR9ZhWFgnqoPaHXi+WAD7GH2rzE4j5J4F7M/zAQCCAgwOGzCBKthApiG3sQAL2gI2
aIIf1C3jW1NW56oAFvpkVbNegA3RxDJmpQAgYm3IILmpl2iJwZQ2x34qkUl2pvsNGegUiyeAtHgr
EHr4O9AhPV3XGJeR6NAdy00hwJDqiNUaOvkrkooRmSIgkw7LOm1BUaqgKesOoxxNACzbsNJnUVua
qwj0JXKfxzpozABdPhjl9AJjkJoyiM3R1G5ccJPTUoA5izqWYNIpV+ixUJKBEfO09FIVEFAFLKjp
NMtagEOL1HbnatVelgwvXfCjrV+dyo+AUth1gYCYulZyGYM57a1AOvJBoQYCjirX/ZEJPrX1MB8D
vWBMMbKPEa/DIDIWgNZR9k9RXaCfSGowk8r4b290b4qcdGlQmE5pAhrb++FDmdN3yOh4yAI+S26p
TlMBqe08aVzVoGwtgQMai/Fy0JhmSwKKGznedQ+zqxEYXbC6jpO0ZKHlEcxUVNYVH0kzAe3VOrPB
chuiGwy67wn439qT10XVB+RhQINtMMJmk3xRwQyPWGiIsn6ut/qiBFWMyvhxAMo4rNx6NbKJKGvN
AJy0vBws5X4Em2x4xOxeaHSDWi6UcgPU9LQGzTyCerQEvLkamqkO3jlDOwR1DuQtmXvTtVxZIKNl
Dx+8lk2AGAWRO4czCfDMEHDqfrBuoFOejrqxiWoCZaCZ2Zw+/IrD3U9qUNkK7cdJXznnpQNsSgW5
HbNvUVOB0WkJxFGrShMO2iXcthZGA5KmMtqm3J3lPAv8Bt82hm6oBZnnthBDpeOhLsuq/B5EyrWB
L9mUvP+LYtW3uDHRNyYuULeANUYtViGCKGCu7TtIN/2ydMoF7++uDBGNSe3soRKKrU5I/xQrvPEM
lw1j5iLsyp2HdAq/63L/uBbar9BU6A6jBuskzYMr0mHZKh40Pz0PQwcLHaEhW7fuqYIoBkbW6Ms6
QmnWIy/Hoxr1WU5ZMXVt48xH+GOWC41aiRlQhmjtgDP43CJOCjXbDlnbQejbBlL4I0LwFrNXAJNJ
snRd5CvCge/Aba8VI1fAORTW0ShZhzgOcxWnQFSg5VigXkZMPSSlOgcTM/OG5O9IjrIp0tznvQUX
sZJQRdOCBHP1/G9bSpns6M5tJ7TspQLNXfry68hHDCJHnkBGdeGyxOyDaF457qne+ks/0A10EQGA
HKLH4BSIRcaZb07KQPZwKw+KdgR05xT+yX/y6Kc8mrTyN3l0A5JssyWP5q9e8mhMj5Fx4BjQNECV
WWTEL3m04hzAykNqy3g0wXrVXsYFC7lRIeVsyC8Ej5emhnEg+h/0qSHYa1DqlD/Jo1X7PZLMxIFL
oVENzk2n5SHTGX/d1ECoSi6oB5uzMQaB1SN6QqfMR/6Yxp7cIqpUxgIXjwFM5p4Gpd3NDKXDCy9t
L5IqO7SYnU4qeqITpy1meMEfg6E8HSx6ERm0blmOHlqwxIiSt4g2SpBT3U49xbMPURbZ9KZJJYau
8jdi4w+10r87BeaQtu+Q9wghdkcaF7EuSQg0+fDBEIjH6A6t9Tz8CpbsRz5kX1o/YCRXVzkeTObX
sqgPU6a2tSN9c1NkotC3gMR72kb+Cey1H1VmIyrrWBcAtO9jx7NxN0fSCbSKuYRudtQo2W0yyMMc
9RGGmzVAzSLuUBvpvgxqXs69ulvoOkxfNdS6qd6RDEWS/VD4iNjbsXlS1fFNh4D01MbzyIjsqyxw
HsAYXQDWwWYTBgxN5bCeux095rylCZLeu3V26xbqeZWl94wq4PdGpTdv0o5obSUXtNhXwmdVD70f
sYqeTx7b+awzIxEGs/tOcYC/4vWTDNC4c1UbZwMGOwsOezllPnFSV7RHdPcE5dXZyI2EUme3kMvu
yHOclZD5wdoHP8pwYyXljYYyFs4L3xNvRBlfNML5khwZ08OuwwJNlZFCVvvCvCT5PfWd/u84dLIZ
+jxgxFx52pQhhrCy+k33jCu9xg7NDqIb3VP/blSzPRwC8ecGKrm61nxPpGZVZT7UNsNcNDWiRRRK
IcVWfIusQLRQ84a5niEjrW9BGlXofMi0WswxWshWDsvOlpdF7WeIPyNi1OR8a4BeuindOyTGyaAK
tKRMrNiWboVwJ9qkR4h+e7MyxD7D6MYrKzaWXWosGoQiMbh1hYw0VRDJCd31sQpn3IhkIDS6p/bI
Jh4qvsNEzb15V47XCLDxqqmN+FC7cOXmerS1o6ADrmSpVFVV4XozL2bYjHzVfZ31323k4ieWmd/J
SoYlZOZOy64HwiUH6AuUDPQlfyWnGGNLFrx1Wc6W5iAvFTlopoi4Oava7waspOxNEhYnIMvbSV6F
+bx06kPTG4aZ2oAlQLLxS1YYaAeA9WI3JhMkfu8qCsmpXCrmRB/BfaHrrh7raURaRnPVO4xVx9dm
UdR9U+2obOelVPnBV5bBrc/V2oKebwaGtjDdRE5vLNSDs5le5yPylWVc+VNUd60LLsmA5lGBjo9W
9N5t0OTzKmYLTXRfd8/yqoInQz5lw4iUDY/ZFVmYX8hC0szoL9GYwxC4CLR5b9GbmjQ4sc4onqri
sMGTHamEAPGdKT3gOJlVgwbeNQaXZ/bFUg419XvUUfycxmneEGdiH0CBad3LHkZk1KZDCVOUmboz
kjzpRjEPAtXybuTaiqtb1W09wPzaqKKyJSem+wMFNV8/lXEok6jD+yb/D1roaQYggDW/vi5vQRVv
uSzfzmK58JCeVNB6dOAX/LwsVSYAKngJGdKhbPF//tN00uwDJrE6dHnF1sDU6a9g1xg2KRgooerI
PFYVw90/aDrRV3rfdKLqNXVSWiZJgI/eUx7RyQjTWA37c8am0gQ+B/P98qZWMY8NVULwiPntTdAq
MacmSa6rxi1Xkqw0q2Z0lakCCM2j819PCl07Y9YhzzmfUGysELgiw71alc1jv2jvnKbLb7Ihq+Yo
afcXjuflU1ShrKnTuNmNXrWnpcw+r1NoWoEPxcQr4Hl3qXcFNT5dNoaqzb0Wd9VKUb4kiMOs4hgW
XOhoS6x9DrXBvvGKplz0Ogp/ZpsH53HQJ1Punh+MedG5xgoQG7PgS6F32amvDumiHh2wxFGKpDpL
cB4otrvo5dpZwT2iAutUpmWJgyF3bjkzzM6Qhk3HGlI58xGkLJhZhzTYmuSkoTUUOdJtB0AKD5tm
6uDXTH2cH8mNjlWjJ89Vrz2KSgmxOfsrq3maZbSb5Dpj9kC5NUkj/4fR6uveROo867JvXhF9E0yP
OVY1TAG84LrWGQBosQSVOwWvanreKhpRDZPMZKN5SPP2qXlkIrpCKUTHzTHCcFFLBobkbofSpjHe
8kWHDD7y60xyz3TGvDYKBJqwONdz7cEdqgs4fu0JzDDgUTV+y0Vnn8FWoaJwxzMj4yut836G2SD9
De1O1cpvYxfdS25OE8PHKDjuz82OwoJqCEVqzPPQj1MPES4ySOBhhOOvfg5krp6qiU5PzzzJ+gT8
rKVhS6H4t7k3Xuo6+gOFBbGlHyXwZBFONJTLUxPTdvtcGwiMd7JqGsOhRRIwx57nGGD9SJEPs2yG
/mU18S1jI1WI5jdCzV4aFo+SAa4TGtTx8VELEwByKO03NVFO8GbFoUkQy1xZAQVq2MFyMCLmV5iB
AThSr0o8VaetXQIF9iJw5PT+Bz8Y8EICGJ6FzoKEkIs7GlnkoHIPpaEqEK6JcATjgE9ldioenFdx
moL1D/TD3nYqBteJfJP6LoR2HR2lLIVNbISolDsmThcuitW6nKKb4m4GzCICLC8OI8O4KWuXPl5a
T1FkmlqWc6ZX6KwgO2giKN3I4G3NQ8ku9XOrHmiOMgGf5kqAamepX7dRlk3d2jiRGRJNHQBbU1ky
jkowB0fKkB0XeqwcFlnAt1Q7DGe+V4p7LnXegtF1vyAthAFdBkzOkhIFJKpSKs+ZXcR3fmws7Czn
qHNMcjFkUpPkR87UqRfjp0iy7FksRlK+GE65YkxF2YZOgE7x39juWVsgmB065lzFX5v2Tcs+h6MA
waC/HJQKKDcQtqNiGO1JI0ZkclHrc7vK9OXguQzQxCgtL9JjTwzXBjFmg4I7ImSpSEtdDOGyIr80
JSrykfkc6j/fsUrQLtQw6KdEPwi4AV4ePnM9iQTYE4M+k4lfYYXe3xUzQMfnGF9azAXHxwkhQ3na
dv+/lJvPejmzdb2epwjmD5fNphyuNhU5T/VytYjfXmTYTNxk/94/+v2D/to8vvLNkG/++7/WD+A9
Z0FVl8F9LcrOx98dPvz3fz3fyO/lbR7f2OO7/u1z4jWfrnngFTQd2QAM6hmuo1zEDygoDN69519L
CmUsqjJYKcr8htv/1Rr9ahV+/wGflvP3/+a3b/79Ioii9k1a8ueLAJSAjMQBfLB9EUhPQBnYBpOy
fViE1xsBvABIhj/+/HzLP/eAdUCGZQJ0w8lb/NDFeL8HYO2qFj2Ep/XZh0X4cByAkv87K8Fz3iwF
oAskN0zt6ZOSbb5ZCnYCyoJkqfzZfp6Gpzf2pEj6T6z6o5BA40oBjkiu/YvTgIUq+wWtRzbKXi6C
Qmnxx0fi7UYwDjSG36yB+cszIWKGgjjKni6C/B4l8O/ERWohw0TebPtO4HIANQWBw3q6iPbwcnja
orscB6pMUZWqNp/xbSyQ+fSPmmtPcXNfT4Ox8xogLoRYHYp1YKUff7aERYfDghjwvi6CkEraMSTY
Bwg2qQoAl6eQIALG61RJlQ9oSjoCyb2nIUHZPVVyDmQGE5aM0uDjz4dFUA+YXyhIR+3rIsi7J83k
xOJ7JjD+chGwhaORpD8t+B7GxadvZ4e4iFOpRTfOUkXmLH4+xARKC/YKqdJTSrJ/i6DuvhNsUmcx
rXtegw+LIMonYGwOB2ZPY4L8lL/ssBNo0SKGjZLnc84s0vD3gZHCSqGAekqm9vWOeI7buy0Fg2Ca
WUx+H3/4qG+XAmqR7iDrvbd3xHOdv8siMN9mdm3Q4n2KDO/3g0gbMXuCNLy34XH3SpIqioGGgqD1
xy0AfwwqmLGvcVEI0uyWK4mE0TYVXf/46fUD3K3ARcB7e/zZ07Co7Jw0ayqYaDQ5SZeeYgEZ6JtY
oBgHKBBxTKguxM++hkXlaZ/uFhEAk3MerOdC8kNEELm1Y+KQvhcNNj7w+y7jc69jl0VwDhTx8fF2
f9oPH+4GjYQJT15NZBH72VfZPWEyDygk6aDp9C2fz//bQ+EcmPyO3tLeLsLudwOoMaHZbsjPGdP7
pjtdRrBkYMBEO34/d8Lu9QNsEhpLDO6fToMo0N/sBFFO82udZdjTRfigAv3HHTbuSXpnkHC0X/UU
1AMNgCEq0PtaTj+f010Co46PggrD8yUmvD8OClUWuAzdEnRPfvb2onw6rbsshXlAi4nMkNjw8lHf
HwrEbBAiFKKAexkZ1J2TR+1RaZElQGN86yJQPzgm/DRYui93yF4uhf4ZiRM3BQhe5bnx+v5ocFPQ
mbaBVe1rfHju/uxyKKwDUF6O+U+X5cMicJXYikN40F/2y37uh90zB3JITVVpQj+X1h+WQjkwRQdC
39v98NwS3WE/iM6jphAdXoa076sJDgVaX9i0CX/FvdwJ2s7pE0ESuKKMZMFL6/F9+iQglTLL9Gz8
t4ft151HMuwE3XlkNzyHR5b1/XWJNRPjy+eJ8P4tgrAQZIvucBzYCVDeaCehTfz4w63zdhHwqRKa
xppQP9rP47D7RYlQCJx0MqPnlICa4f0i6I74H4b64mdfc0jh9rLjfkDXSjTbEbx6yo7e3xGQltB0
JWPY30XYfU5pHiA0I9rwz4XVh+qSi9IwKb32FskjkO477gT7QNj0OkC3Hvf8xxKbFqXCKlBP7Glk
eC57dwmPFI+sgE7K9MtFoBcNesF+ikL7d0cIWuGOO0GDpyhj1PyMZhIn/014JCZo4Brouu1tXbn7
cWAWi7ITYNfn4npLTIAfq5Mu7G0xtXsFYeNV8Hg/PIM9ty2C4J6iIL/XxbVwLNvxUNBGwFyZufVz
MfUhZ5APaD9CnhWSwbzWHkaGnVNoyMi2QcVI0+mf7/tNZFDJsWWoSbh+7+si7D6VYCgJXgeG2XMK
/f5QEB5VrggOzr6uwe4Z02MuYBmMLD/eDQotalbneYvs6xrsfkMwmGEso+PL+4tcQWEfMLxynKcr
ZF+rCKE2sGNwNCCGqCbXIV0G8fM+YxDjGbIJUOB7eyZ2vywfO9Gwx152/ocbAjqAajPWFRLBe3lD
6Ltfk7poJIlh5K/hPNiOajro373OGJ6/o11qCbJkxlBgX5+bbu9DJZclDTmFFHJfMwah57djZADZ
ZMoaAJ6nTsrHqlI+4JfsGGBuz5FjL4/GBxnFf2d8C3jHZHr5i6Mh6EIcDMgyTxfKvkaJZyjaLkcD
YIcmi4/5axKZ6ojDIXj/+7kfdk+mhRwQiSIJwuPO33ZpcnAUXJ/3dhF2TyRtWm8AveiovEskiY78
wkIDem/Pwe5zGYHyUgD1Afl+/NnSjTcgRwgrwX/9HPwLlec/BOWpH8QPc8EURj5xG4P5V//gZQrx
8fev0HCPfNM3/1JQlZ9e/AkzJ/7//3nLXH6snF/99qWSfnyl579//ogfX/zNi718rpf/uAo25bq8
94fHXwzPb/RsncBt/t+Y//Wwfo/lE13xl/+2nWb9z/34+6ejFrd5edBPTrag3f38qB853P/aw5P1
Q1a+POjVwzk4Oz980tT1tjfOTt352dN1vG75SqqXZ7167+z33Z+fxU314SslzyCt+YSHp3WJg2hW
1dtegnC280vMNvFfZ1m5df2JPTs/fx7/NctKNs/Ls16tP8XLzs9flEiybns4mfDOD1/GmzR9ec6r
N/4Zx3XVJHdZ/FB/fLxAu+/81g+TfFMG6/jlUT/fvQCS7/74dNiy6AKYvfOjjzflljUX8/LdHx2k
3pZAoHzGWT1ZR1timCCU7Py2T9ZVtdm2Jp9xQE+y6q//Tb1NvNm2Mp9xRE/XDwTgl3V4tRE/44ie
rstg29J8xhEVz86zbdFdYAp3/lpPN+lDdh9si14C3P8Jzy/vNw8vD/q57gIAt/vDM977y3NePfsz
julptnVNPuOU8uh6U26GLe/8M07q2TrfstHFzHjnBT/btOuPuSNGNJ9xRM/LNSHg5V2++jo/44he
xOv7zZbcUfRpd16Wi7hJtiV3Yhq388OvAlLHKnjYsjJiBL7z86/X9yUlQVpvuUu1zzil1+v0r8kG
oc9tL/AZR/XpBcp0XT5sDWTaZxxa8SKzYONt+xCfcWrF8xecgPugut/2Gp9xfMVrHGXrotl2W2mf
cYbFK5w0QfXX+V1Q5ds+x2ccZvEqp+t6s+35n3GeeX69/muyLu/W23IGMT34hGMnXmOKmvaWYC2a
8p/1Cr92Kv6Nptq/VI9f++utNaFgAO3+7ulhbF2aTznMv7fJ3Hlhfuf8tvvDcazdtmc+5fzWa0Qo
43VTvXyFP+9hAcrd/WsVbZYt97D+Gef2tyZPu677DTk+6ocva/BzXYSS0M7rcvM7Xf2d33pDgyjZ
1pcTY4ed3/tXntBsO6vGZ5zV30go77out83dloNk/N9X7ba27D9IqI/N2hd1x21/9rYXLf7FfbxZ
l//z/wAAAP//</cx:binary>
              </cx:geoCache>
            </cx:geography>
          </cx:layoutPr>
        </cx:series>
        <cx:series layoutId="regionMap" hidden="1" uniqueId="{7DA4B1B1-2A3A-4974-90EE-10116EB161EE}" formatIdx="1">
          <cx:dataId val="1"/>
          <cx:layoutPr>
            <cx:geography cultureLanguage="en-GB" cultureRegion="PK" attribution="Powered by Bing">
              <cx:geoCache provider="{E9337A44-BEBE-4D9F-B70C-5C5E7DAFC167}">
                <cx:binary>7H3pb9tI8va/EuTzUtMHm9292FlgmpTk20mczCT5Qii2wvts3n/9W/SRkWQnSwMSfli965ndgaOo
VCIf1vFUddW/brt/3sbrVfmmS+JU//O2+/2tX1X5P3/7Td/662SlZ0lwW2Y6+17NbrPkt+z79+B2
/dtduWqD1PuNIGz+duuvymrdvf33v0Cat84usttVFWTp+3pd9h/Wuo4r/YvXXnzpzeouCVIn0FUZ
3Fb497f2Kg6+Z2UarN5uv0Z+f3uzSt+odRpU2Rs7q9Oqf/tmnVZB1X/s8/Xvb7dEkbdvftv9xGfa
vYnhC1T1HbyZWjPBCMOEMvnw8/ZNnKXe48sGJnhmIoIsbFpPH3u1SuCdz7T6x5u/v8Q/3nwCfdd3
b26qVbXWT+98UeF7dVd3d+Vaa/ju9/99rfitawBX849JV/F2vJrjPfTgdv7+dkflQGf3l7vs7Wy8
VJ9u7q/tb9so+Pe/dv4ArvbOn2wAZffW/KeXtrHwH3ACl3/VrMuVPgBMxAxLi2DCObr/AZxtwwTN
LIEkobsw2VVqvyh5lfQJINmV9/bNkWHkNMnXZbCKDwARMuOSCGZS/AARugMRzGbMYoxhbt3/Bfxk
FR7syY5m+8XJa4RPgMmOuKNDyR9xHqTrA2BEzCxJmYWZ+eBsxC5G5IzDD2Pc3EbHlkb7xcZ00ROQ
sSXs6HBxuS5vwanvPwrhM4osaQlLvIwLgmamwJJjbr5kO7b02i86pouegI4tYUeHjnn8xsnK1d0h
wlQx40RajNDHKFXuGA4ACJcSm4K96Fx2VdsvRl4lfQJMduX9VyLlPvJ/HoZPtB3/RyH0n5BY1eXq
ABbOnBGBBEUUYDr+vOD5iITQyULwykN69xAXbau0X+C+QvYE2G5L+68ELcT/P03D/4gh7707BDb4
TCBTEGE9Wje+a9zIjHBicguyrk1obGu0X2i8QvYEaGxLOzpojFyIE6y9Q3g+SKsw4wxSqx1UYD7D
FhVYPFE32+DY1Wm/8HiV9AkA2ZV3dBD5I4HAqDyAYxEzCpYBEQEZ0y4lwzkBp4LkSzHzlkL7Bcd0
0ROQsSXs6GBhZ3GtD+FT5IyMdByk2g9szDPCjswQxCOWNNm23djSaL+4mC56Ai62hB0dLm6yNEsO
gQsxM6m0JCePRO4uS0fu/Y1lmqM92Qw2tjTaLy6mi56Aiy1hR4cLVVfVIYg5ORtrQCb6GTEHZSDG
TAtDPWgbFpsK7RcVkyVPAMWmrKPDxLt4dbs+TGghJB9JlYcAAj2zFXiG+Mj3k4ecFkiZTYuxpdd+
sTFd9ARwbAk7OnTYGdQ4R0+iq8P4E4SBtKU/4zXAn2AKtBzHO7zGC3rtFyOv/YAJSHlB5NHh5SLT
b/5IvXW8PkQd2ZwhRggV5mO7wbOkVsyISSGjwQ/xyY63ea7cfjHzSvkTIPNc4tEhxlnHb64y6JHZ
f3Zr4hlnJqSxo40Zf55RY8CrIpMCNbbDje0qtV+cvEr6BJTsyjs6jCyguyc9BD1mzTjF0FaA8QNA
dgtDGCrKgsE/eCfP3dJov+iYLnoCNLaEHR0uPpYBNIr1B7AcUBCkhANzaj0A45nlIDMJ+Q4GimQ7
bN1Wab/IeIXsCdDYlnZ02FjG6zTdPzIo5LoEbrwk0NG4zZhCrCoF5pTtOJNNTfYLiMmSJ8BhU9bR
geFLFh/CfUBDEufmaAh2sQCRB4cwFO+ahw1F9guFqYInIGFD1NEB4aROvmXxXbV/w2CCyxDQ6Gw+
NwwmlNowRVCjfXAm2x5jR6X9wuI1widAY0fc0cHjNO0PYSegTR4RcBtgK54QsOU68NggLS1LiB2a
Y0Of/eJiquAJmNgQdXR4OF+Xh4gh2Izye7r8od0MQQy5jQc5G3kxDCHotq3Y0Ge/eJgqeAIeNkQd
HR7GRoNLOJNyCCPBoUkVyArocP5pykGIwBBu7KQcu0rtFxmvkj4BHrvyjg4j53D26xDkpzUDcwCN
XE/k5wtchQWvQY1t12hsKLRfbGx+1V9KnoCLTVlHh4mLVXQAfhNyUWAvgeuGLp37nxfaNCRm2BJ8
5/jdhj6/vG8PBblXHLybKngCIDZEHSEetF4fILKAJMSE4zFCkgdAPC+6wkk7eNkU1o6RuFhtaLRv
TEwVPQkVG8KODhfQ9p4GOl7Vh3AgHG49AnrK+pm1gII8GutnfCcLeabVfvHxOvETMPJM4NHh5HJ1
B0d1909iwIFuOKgLDCZ/bPzbzUzgpAyyoCJv4p12jS2N9ouP6aInYGNL2PHhIrvLbvcPCyikmhJJ
CC4fyyHPuG80YyaB9i8MXT6bXTyXGwrtGRVTJU8BxYas48PECqpk+8cE5TPJTaiQocdzJ7vNGNC7
wyiGQGM8rbSFiQ2F9oyJqZKnYGJD1tFh4uPaXx2iQRjiTzigb0GXzk8K6gAKaBSFcSD4IULdoTK2
9NovNqaLngCOLWFHh46bLF4dpN0C2rMYNIRy/hiBPosu4FiBKQVDu3NAtjTaLy6mi56Aiy1hx4eL
QEdBn9X7dyZjpxbFTJCnQ4y75BbYDQsyFwbB57YzudnWac/YeIXwKejYFnd0+PgQwAAhHdwdguqi
MykQo/SxYvK8ZAJDIGC8EJCfO4nJrlL7RcirpE+AyK68o8PIdbmC9uD9WxBKYYQD+BZh/Ww4DJyT
ZnCa0RqhsxmObmm0X3RMFz0BGlvCjg4XlxBu59lBDjPeF9aA0RCPpOhu1AFNntIyuYBDbU/V+U18
7Gi2X4S8RvgEjOyIOzqU3ATr8iC8F3T1WYhCh87DhKCXeHN4EcGIoQdibMeGbOm1X4RMFz0BH1vC
jg4dl+sU6K/gIKmLnEHlHU4Q8Mf5dLtGhFA4SsAtSsdDBlvmY0ep/aJj9yv/UvoEgOzKOzqMfKm/
HYI3H+GB4RyB/NmESzgBC1VYYe7mLxv6/PLePUDqFZXYqYIngGJD1NHh4RKOyh8gGh2ZDgb9oI8d
n89OHkHMAc08cEAW7aQrG/rsFw9TBU/Aw4aoY8RDtS7XBzhTArU1i0O/OEU/G56AZxazwELsTmqC
672p095xMVn4NGxsijs6fFyt8kP4D7AXMFXDhOath8aNZ4flgTeHtg0EScx2eLGhz35xMVXwBExs
iDo+PKyb1UHGuoGDsAiHmX+PlfhniIBuDQzzd0y509t1tanRnjExWfQUVGwKOzpcvItrWBBwgMgC
yApqcZhl+lhhg3Rjq3ccOjSgvQtq9XTnyOqWRvvFxXTRE3CxJezocHGzui1hEmR6kHUMYsY4jMg2
YZb+/c8zbIx9HOM/cPhg/NllMXZ12y9Knn31X4qfgJRnAo8QLembs2xV1Ifq4ID+DZOYj8ToCy6G
SGg4l/Jl0gsOQ2wr98sb+uoMdjwp8Ar5kwCzK/EoEaPg1NKqvDsMEQaHGWHyH8wNfazh74IGBosS
CFRh9NN2oDrezWeK7R8wr/uIiZh5JvQoYbOA0txtoG+zpxv3Itv0yg1BHE7FIsThZOODS3qhsA/m
B0r/9AW8/NDoMY7aP1xe9QkT0bIr8yjBclEH+s31t0Dnh6DPGGS7xIL0BrDzGKjsBrnQZYZgoOAL
qHmu2v5x88rPmIic51KPETswSU6tym+rgxTyzBmYk7Hp9CcNiEC8WlJACyIMr73/eTJ2P/aSPVNv
7+h53SdMw84zmUeKHDs+DG6gfQjmxsFBukc/9aybGc/Ah2HgW3bSaohr4NpvqnUIvEyWPxktmxKP
FStlPRyAgYEzMhxamNHTYYhnUIEuVqjtIOg1esm42H9rdRCkTBQ/HSh/C/yvwMmvd+5tfe1xJeIf
T/fohWj3teswIfWBMccW+J6Xw5bR+WAYng214pecz9/7Q6ZvwHxYLPpsAeYvRG1dgYcL8OtL9l+3
yvLGX+nRJu973SmcboDVcrA1g/6syk9msFIDCYhdn1D1GFZsarTnp36y6Bdu/NYfjctiN4X9Vzzt
W9/gP6w4vRnHnx9i1DV0f1BCYMHp42P9zCNAZXc8+fCsVrOl0Z5xsfllfyl66xL+ZP3tprCjw8XH
GoLKQ/Qkw8gOisaTTj/3B0SOYSUDFm2zaWxLo1/evFezqtNFT8DFlrAjxAXsV0kOssoUDk8KoEnB
IrwcKUAVD7pRMRbkGTK2dNo3NqYLn4SOLXH/N/j4+S7AH5vNnVW1mt/vRN/YqP3rV59Wce+89fEh
fiGU/NG2cXr3+1to8qBwyA24qx/r1kdBWybgwTU8mYXtd60hvvn97cN6dYgl4cA+ZZiBi3n7pl3/
eAnYM1i7bWIMzklAqS+FKds+LG2XMzp6KlgYByPG4DgExCo6q+9fgkWZsIMbIGlxTIFFIT/21r/L
4t7L0h9X5fH3N2mdvMuCtNK/v4X+6Ldv8oe/N+rLEIMhmOAW2Vhhgna4cUxmfrv6MM4jgovwj4ak
pCoM2V/DmF29QEaczrWJdKQiKtziXKCwY6pomGHYzE3zy7atb1DClkxEjdLlUKvAR+yiS7tCNSFJ
Va3NM6g9IDvuqV4QXMkrK2uzk64p8vfELHNlmZVxnvQeW+ow+ywHHNoGQ7dpYSKF/eF9EmSRctss
doy8iRX1+PUg4sZOswYpL+eRHWTtoLDwqKoDL7XThLyPqBGfNklbO4nL5qj02YnBu04x6upTHNWp
UNJKmR3k0QcTi3UbFTdZE1zkSVs6JbKM07AzujNPxrE9VDK/RrX1FQKKD7IAKS6OLoEIbR2T1I7u
0thxW3mJTLg0lMSq85r3KBr+TOr8kwyL88DXX5FBl2GegLJDS+xUhBcm6ztVt+xyyMXdIOPI7vuo
sAVpznueZbYbt4Vt1FWifKtbSOLeRj7Viols4WZ6zo3iMiX55zBICsVp7tqBn5TzlvXfhoBc4aCE
X0T+IfC92EYhLcQ7TYXRL4067VXuw+e5qG3soswcgct5mWdLwrsFku2SoOq8xnKBy2E9CBHMGW/O
046VNi+5UFr3vkprndtmEiZ2Kdr8RHoyUy0x/8rr+LI2qOcUZj5vOsIc3a9dbs0JySubuN6q79Pv
Nfcyh0csdSpzyBYYVfGliMk7t+wtxa0CneRh/t4vh5UotKtwZXi2H2eWXZqaqdTKThtS/RmG2fsa
JUhZVt4qEYeLoViwOCltn6bLGlvvu9b7q0pzqapEn3tlFTuNkTRzYQFchWauCiKvcng/oBMep8E8
S7SpMs+t5kEh/8zd8F2UeIVdaOvcbUXp9IXunIoFK9QPnl012Yp3tLR1ZwSONtzhxK0y02mrKJrn
nhmohNRIITzkTmd6pvIq74a7HDCVUXJCkuSycrPOrtNIKrcbDBUU3FfUNM9jo31vYf9Lyqmr0i4R
c6ati8QiJzCTsrIbT153qdZObBBmcx+fIg9pZeW4Uqx1fRXG3XXWGadlVpWqb6PbOqz/ChP6Le/b
d6FZdw72kjUYqauSeIkqW3HVtAzNQyFK5eq0uZC9fkdzeheaQa507p/QuP/WhvKqI+lNkMahnbDh
S1xUSGmDeQvBwnCRe2WtKtf6orPiPfH8WIVhtA6Hpjjpibsc6pbbJDYspU0dK+kFN5nvtfBQB/Hc
yKO/0jb7C5d+r6zGXJUo/JpadQK3P6tUnrm5CjJ6WWfiz7A0zrHXnAmZoDnq2Nzy8zM3Y6FdZ7Xd
wPh4FUrjS1X0Sx5mF1mZxKrlulW+xz9XA6lU5FF50uRcOjqRyUmLAXiFluY1iTJhOAUbgrt7b/Do
rrbM7W2W92Xg+dWD9f3x678/Zgn8+6/xPX//4b+2fluuszEF1bt/aes9IPfxc0c3tPXLM7/4E8/3
Ya3ruPrJi69yi6OX+Llb3Fyi8tw5ju/dcI5s5Pmp/OEBfzhHMjOhXR/WgcPQVQ4Lzf52jjCJFUEu
J2HPCPgrKFz+7RyhlIkFg12a1jj3ncMEnKevu3W3vHX2knNEEAHsOEfJ77eSC9hdPvrpbecoEz7I
tGHNddwExHftssjQWdxh8ywdsjC0Qyv51IceUbwzLkRKqBOypFFtaDl+aoA3q8KPnVedR6K7aVB3
0bs4BEtsSXADYlBDMJzJoPqzTforntBTFliKxm6mCqGv8647s/LasrukOA2GuFWJ1qp1PTAcXHbL
ktLvVHiV3eoiVSiIejsPKJmXkVGoQZiLOgyFbcaoVlL7X3oLbISOzX4uqz5xUJl/NK26VmZtEJtF
nk3zAdl9WynTKxq7TN2/Yomdili9XYLZYUH7zaojFbpF4jDMb4uQB3ZjBZ+togM7xK1T2gm7LgKu
jIx8tjxzKXg+2G5LF74oDUV1ckKshjlNJk50lyRObzalCpruW5+535Kqu0aZXygWVV8CJAM7MaNl
FHWnwvfSBe5GP90YmRJefueB63U6nH7OwQIo6jfUcetqbblkuNJRvwpy5p7XLOB2yQj4U8+aG6nA
H4jmpWNmrm8HsJVEZbqTy7aNzjErmi9CNiVEFBCiLbKwsQeTB3PT5dkCIhkIZ1g3zIXvQwgih0zV
JNWXPRKdEyVNuRBZkDtubPR2BWhWpY78uRFk5bxHgTtPkQ7OA5TFSyHb6oawZvizHRrfyVDsqkjH
6LK3Er4Y2ij6kpUNOQs4tz43Okk+6BIX73yLBKfgtLuLQrrUafo4OyNWAabXMM3wwm3T3J0bWXdR
l0NM1JAg91snAkM4LTOK05Sg91Em8dz32/wT6uHCL11gyL4aofS+myKu54kkRLVVX88jIew+IYXS
YV6rZqgAN2VwjjW5rPoBrno7L1rvQqfFF6S1tI2ivir9tD1x3apbcNRAkEMzueDMb5TZ5VdmRapF
kSA75GU1L7A8d13LU1EcEJXSgTpWI1NnMCPsZFgEDk96tMhq6udzEtxwmuZLHFjRZQZ5+nlUe82f
MhHi1ILMRvkGcpeGSAdbG+X3jrjGSZKHTif64Ox/xvw+x2GwB/Lnxvxx5/dzOz6+7cmOw3Bsa7TI
QLpiDBYYLPKTHQc+nXEJ1hi6oGEJ9qYdN2cSmBcOKbY0LWidB+v6lOTAST0MU9rvT2Lg+5deYcfH
FGYrxYG2ffD/0JcPi5blfU63meJ0yPCaskzrq6GPIPqtlQcRZSAStXFdXnAXGEHv5u4HMTieOhau
EYGtRTu5FI6rprBCM79CNZOfIr8wLDvhcT+cAMEEsTSt0to81dodbkISeQpG0pt/hYJ7X/IsFGel
18tzzJNc5bxk3Tu/px9onzWZY/Ue1+dNFGr6tekKS7xr3aJpFiGG2LMxm0BZkRFft2Gs8TzI84zM
szauG1sYnhuqQLvpZ3AQcs7EUCJHp7csNtsrbubxtVmjPLZxHsX9InM7ascNWJVYZ63iQZvRa9Rg
Fl00cXhdVhF4oTztbF++g62Ba6bzu7TwFq5GHzlEfGlLl8ywIK9A8C2MPJhL013IZM665NTt+8Kh
UQJxc4mduC+++8L/MOTmFSb595o2NzFEqPPWLMMvPMq0I72ovjR4Xl4VmllncSAvc5nE82EgWqWG
Qb+boU5PTNdHV2lV5POkcQsVxAabk1ZcUsg8dapbZyCicbxgIMsq5Z96bHyOiV84WeizUlWVRzgY
LOIDLNxkDhl0MIftZiCiIgscWeWn0qxo51gi9T9orzHmNYfsSXao+2zGAXhuk0CwqqMaPItR9hAC
DB8KqxJnvoHx1a8xRuAh24UYDHGDyePj0iwKsN6OSIq+LDyvE+WVniertlT4ZrgBh6sKuzpJT1ys
fMebJ0s+L+epYmfmgs7JiWtH/wHrDJ7oDT0EtCdzzqEOD4uZEIJ8GQiKzWeKdWVbe9rPrlzinfWx
39mRV7gqb02iBI/kvGhcuiiJVQbKFejS46V7huEeWVGR2D3vr6SLeiXI8LXqwFlo4iaLqsoXrhi+
cuYyCDQMX7lD91cR51yRsuhtrkPqdK1LgCYIE8X8bt5TcOA4tUN3sAtTuGpg8mSgWPWELGFOM1ZF
VQIopGk3SXoSdqaTUbNUGcrnLXgx4ka+itIAO00OyVsSagce4qu2k3RZeGGkNPU+eUBfYJpc1p1A
yhD5EkUANC4LCLJQePPrW7xtRODKQlumBceUx1MjFGbt7BgROZBW5olbXqEmCZdgCGL48ii1jcCf
sywwlVl4q19/5EhYbt/Nnc/cuZtG1/CyiTx9VXj0C3NLu6shWx80PzGT+jIrXAh6LGBueFHYLNaQ
cZppfzGUta+EwS6yQHxGgQYCSBvf3chc5EVxSTLrPXKHW+YVX5M2KJwiLfLze8X/l2CNB0N+7pPH
Pl0nWHs/ukD/ph7vT5Q8Uo/YmqGx1DkuQ4IsCUN288Mr8xmTTEgq2EgyEni8n6hHOgNSEMEY83HU
hoUkWKAnr0xgWiDMnpXgQ2HlGrCZr8muYEnoFupAJRAGmyJhmC1EADAie3x9g3oMwtDXflzRSzAv
iQ9JSFFBOlNbLDpLgqTNiY2bAYCpTJSTDjKqfripM9fx/NS7oHXIV5GfglMtbA8VX0MeY/yuxTr3
VNj0OcSvTSqvk6wazjxax8FpUfXkIwxwN9gp1ggyEimN6jpxqXsW9Raq5iSKQnwTcBmb54M3xPpW
pp7VXpY0L9n7PImXjZXGa7cpAidLgzq2a1PU4RKFAi9kIYLmA/AP1akZE22oYfCjYQ5Wrv4KqQSk
Trzw0TmppXteFkUo7TRt/bnfyQLySgiMa9QH56zqzQvXHSDyDqUrYQpx6kt45N12WELde7Cj1K/f
+YSNpNpXHnm3oWUmc9hqkti5xdZ5lawtmQEp1CSFeddWgS3AeJDCa0/TAbFFFRn119byLNUQFAR2
G9XYhqwkVFVQib+wAXmMjFr3tgus5kTTlJz6hutfGBFJTiJc8ite1N3pkOfF0mRNZpeQIagkgqCA
idxXHbSqKNm4l3BzcwfcoK1b7TqiSs5FLTMgkUt+2TM2nEZm7KuAyFiZ0l/yoABSyiORor0IYdlt
nSqeRk4u5FqYvrEUzXASY3lNw8Ba9i4kqoZOIuW5pQncEvhi33SdCLIqYBPZMsMS0pCqsyu/bK8i
2lU28sFLSUjjnBKOXMxDIyfXyIuiG6Nl9ENqWek6RGZ5lhRB+lfYmKUdBMVd2jfh/6zWQ7WEQjTy
c6v1Y27W81xifOOPXALaQyFZIECnmzAVHwzhhtECGgECbA4VOSoReKknowVbZ7nkUA6Bhi+wUAzY
oiejRaHblEF8jSwocoDFEa8xWvfedzOXGGsvBAhXBqwUgVFnoyfdsFk+GekgiBYvy6wocn5hQMoP
nCecttAJcqQZRteyJjRyfMvFUBtp62GB+x5z1VcBuxYxiq/rrDBUmwBXy1gK7GZk9E5LdHqeuDK5
6WnaXtedmV/AXsXsFkxie0aSNroxcVuem1koU7vq+NolgXmSQcizwGHJfLAuVfbVh7qRVEYjI6ds
c3iw4mVEMITAccq+NY2Fvxs0GIAGsYLaln6aqbTHsYKOSzXkVuF0JCSKIeD4A59H75Kkdj+SUPof
6tyI/RsUAlOklzHHxQAmwIcoqKRCQHSMeeoR+MAaNTVRDVTESt/pW5H1Kyg6Ne/LEosWqawkpuMO
VoOugMEP5wkLivCTEQ4sgSJTxLndjbSGakvaQ4DX9MXXqK7pqdkk1XyAcozDwdqUeX8mqrxwcMp8
BzWlZOdNTsuVC7aBqMTvcwUVKO0po2iAv+qDlNJlj3V42vtAzzjZYH4YsG74CQHm2Ml4eFuFsX+W
Wy4dLllYVKfi3pwPo2XvS5YO1PYBmO1lIuM+NZb/P8Yxm881cLC/LJ3+3fz2/F0blgAqnCYMlCQw
qQMeub9NAQEjAVEKgmn5QM0Cmn6YAhM6O/E41QOyEilhrfAGOzzGLyAQTrsAJiF7wa8xBRg+YyNo
hiBJwoRcWNxhwbgICvZqJ1CvBprlRV13V5D1ynkDNZhcZTSE8mTE2+a9ZbD+LOyaNJojBJQmlIma
T5GpoU6qZVr8tWFK3z1YoM1C7rhAZlcboMrHsM1EJlB3o7Ybhgni8TySft1ckSLFV140pK6qeWb5
dtdUmVRNa9ZfeJMbgSoTATFTEZZAQbgQ5Jvg/3l6J6sKXYMMv3ZIHONPAzMEXvYWc9e4N3C3+LXG
L6SyMEgD5u1IYPI5bN4bK9ObGgfch3vbV1e0Y57nWN0Qf2qARKKLivcZU03f4dAJuCvUwK0+UH2E
6BLI1h4DEZxVd36nNbYDI4eKYxVkDZT8fATuvwQjNfcgvX8X1fIs0dLXDnQLyj+1X5xHccu6eaAN
6zIo/SZ5eJKhXvNyzeD5beAmTA+BG2EBNuj9l974Urw3vNbIYw2EhCv/zDyIypUZEYBGntbdu7Yr
5U3u4vjzry/miLUtt4Rh6pXgVBLAIvzfqNbGxzLUeWauvfQqFQO+wpFfX6UaAhjh+n/++pO2E38I
2uGTJBr35IGzHasj25+Up2Y/FCUk/iJH5qposzJeupXoiYpyf46KOh5sinqR2SFlbfKfQLPbrgDf
kox7+kzww7CwcffjgROB8naaBBCFRmyVhDVbRfGoAxsSPbfKLFM9glu/bOOiJaqIMr6uYqlPWwmB
dWfREtm0DbMIyOg0+UTLHIo2vuj7dW40uYOMIeE2k5lZnjBqQXfDr6/euJN650bBiCkwG3C0hQCD
M/aXbN4oZNUsZcw1LnHtJqugrMBJYSOqUhPi3j71zlo/iL55QuYX3VD4Cyszu8AmuOHfKz4Mmd1D
PdOGKKBZByXldw3Lff7AdP8Uw+YOu/OUmcE5dQm2FZ7OnSjHKkUAHRSQmYVmkbtSOJX0h2VXdVQu
qqau7bIr0Psm6Rkw8L4PVRacLjUp82VsQtoWxUXyIY9Z0ikeQz2+DZPstNcVlHRZkX+ydCQct0hd
KN2GYaCCioatcoHLu2pzQ18XxkDnnodlqIzBTRObNH5ywqwq/kBC753Xp7RTcc2Lq8otPlYkMcYS
AoELGfQEbINZD4NCLXRcxD4TX1xUm2e+JfDF4HWNtFvkm4kNT1dwaogSwoy2F4ODoVDiDGF3m+ui
uqmRAWX5Nqk4cJtFfWq6hHwsfNxGS5cbOFCQ27nf4KgKZKdBWhhf64QnTp5rchplaX6KCxnfBU1u
wXNPk+gmkG7HVVOY3lnplrXdw3VYAgMurwsIBOdmWxYLjDvczGPGsWc3rScKu4Ga4zzRtHTqXF77
ruEhB+OsOgFXQ1o7RaGlRMXjz12C/HNSyvyG0YotaxkaZKGtBJopLKhBadSFw6KJhLcwug6tiI7b
79rLc2ZDYRwKhBC7Nd6iq8IMHo62nfdeU4tFCXUyB/Lz5CSFvwrtMyZ0jlhN0nAV6jA0bO62XPEM
CmPKrGIXUnEjTZalFc09s+7R+5Zi0wl0icamALOoFrRqpV52lHcXVjQMsfu+bosqSVQfQFRV3vmu
T8jwRbdGxxNfyRJMeXZL+iSsaAnpXF3n6KqKqiTqoHBaDMtG1pV7mpQBdCyEJM5uEDfoadhTWkMp
UkJxrS8QZIKDDxUjJ4W6k29XcdQWwEO2HrLLuMLutV9As1V2EvW8haC1i2V1YemKAqJaN8O6tWvw
hQvL8EP3uoEUw/LsQuQCAEcjnSzSOCiligtwXu68awLLNlw4f8BU76LUhFTWTRJgzOvWXbQxj5O5
diEqWLDUSwZbDAwsZkois7YTvzRiINF6T7/TgZEk88wLxHejbniAHJSRahkA4SCumOF67llKecWh
ASLtdDH0JxoGc5c+dKH4PJm7uoHOGFnqNFj0sZX0J1CrS3KbkT4ObN6xPl6WQREYNtxW8peRJwN2
IN+JEgf+h4zrOESGhkueQi6cQL/EKS1lFc8jv7I+DHVF6SKEMi8+91tfc0jVfeJXS7ds8vQGnDE9
C72BRIs6Bw3mWRV7UDvF3SBtEfY5RNGiB2gb8KiUjotxfVZSxmLHc6lXOzxt4HYGXEN8kg4hHdZx
RKXlCFAgcSAx8ItTjCD78QIeWTawNgV1gixwnaF2I6aMtszlu9BtQ9OmkF8MULMIB+McubG5wLnr
MVBX8nyOe3/ITv3g/7F3Zjt249jSfiI1RGqiLo+0tcecM52280ZIO21SEymJFEXp6f+Q3fZxuboa
KOD8Fw20CyiUy965J4lcK9YXQTLzoklDMWfb38tIWqHHmqCFDrmbK2/NjKu8lxEH0y4AdnAfgbZa
ZbVWGbOhFzwt7Uynm7hPF7WT6WCuo0liS+I6afCAtAvwaZWVIPLjSlopzsPStW6vZxAnF4IG7yms
IehEruzKjBFcvPtJuiQodAxCIOsmUne7NhganbO5LCpSDR/beUZlUfPaPmI2Mn/qRxEcbTLzsmAN
5L1MshI/J2pV7fZytORmdX0Q3msTkSfAVfgbc+xplhuyJK6wtKur4+gohUyUcE1vKy9Jn6U/bBdn
XQ/6kLRa6Du3hJB0/GHGdyNmiRemNBbdC3aw9DlgPq7uDqvkCMIsdepkdFrSu3qcmuaBMpmGJxfW
83RtnNmKT7G4u6jxYodxVYenVmqFfuNoZ1Zo7Mn25reXPmN9wuvqO3ITomMO76chwkclGtWsedpY
3Dp9y5vqXo4JbvlxQlXA8WdYU6mR4nYg4TLKLOiFj697Ht103Xmi11nlT4PbO6TBBcViB7otGriZ
crwjLCAuJVudbGT3XNIgPTNbVSxjAkJl7hYev84ywMtwY708BMb54M1Q5tYX1cumfmTYLQ5a+uRm
SPnwMfTR2GYiFBU9K8bT6VIKxe1uGZNhRoG7BIee4mPN/WRYPjdtE925SfvqOPiLbd7Pccf1sSu9
7usCdBBrSDW0Yoc+gAVFRReh933cpe8xDu/20E455hMhlrllnMVDpYy+pF1TR7uIgv7CsrfRD1bQ
9HmsPcuLlkrcJqtXBukplIoMXzosyOiyCS6pYt5W7KKOPHyizq62wCYzDxcyTjTOyxRjT+y0AeDM
ZBzqlzG16ZO3oEw/r6kZyZvRctFZh8mxPVUzkMPCdeA883DmMT/1+Frm3GvSeL8qa821W5L2sbYY
J7BEYwDhbHRc5xhfTuMTvR76tlHqWsYuvPKMH6pCDLKzF77MvchZpDvxhEpEv/mpxDKCpVPbrBFQ
IbN0tmzALrAMjy0fSPWBqDVgNltRgS3vehN4KX6YLsdCJF7Dz17Zz58E9z2bt4mOm1OFgfa927C/
wzgNuiqqdcJFWlFTB3euadfopov7ts2G3vrxdUhE6PIF1Y0uZtHjW5uZrHg2rkmHtUPrtiAucOPO
tpSNh5UNuPqb0PFkt5SLr/Oy1/HwHoQnearFiGsNOx0gxZZ3+k6mkmCBpX1a71kn4jlz00fKppmR
rGls8i6icpjBf3ATXodly+zDUOoURArHFV2AFcK3icZhcVdVYBp1lYy9CO6o89v4VGImh/flnMev
m9Hr512nS6wZqMYmc922JV7/mDZ8rwVrxG52vn9ahhD3/QKaq8owk02uv5XO/9eznuvq86i0+mp+
p+n+o5G7Ldf4l07jTyT6/7QACN9ef9VSNkn2+8N+6CkU0VKQKxDzgfMlw+BXaRVndwSQT0M/CKgP
9Bxtyw9pFTYIIBMY94JrCCHF4I9+SKtIbY8gqOI0IUiyIQChv6en/Kl3TiDYQN/F8USA0dNNFP61
N2KOD+nExHRbV6Y/szYNr0fpLky2mDpO43MMZGyoTXOUKmnXL0LpwbuflgU13ooxB3HtfSp6mZlm
uTc8PCvdqf3Q6ioj6wJdoCHeoWotJqi92PPGihOKTz/nfYkJwqy5yFM7yH2X9O30uPD+YyoWlXlx
gnoBFUCd9xRsu3Xeeo4AQYAHXDbMaGqbHVBX72hAIPEUKFK1QUkLUWiOSJOe2g1Z6jd4iW4YE/sO
ND323wgntsFO/YY92dHzd8mGQqkNimo3PIrGKZYLEFPNN3SKkzzaYKoIVBXb8Cq7gVa2XV3mbfCV
3jCscdY3ZAOzDAitETPuBcSW8JcdBcHlh/wyb0iX2eCuCkthBgA4nyc9FRLfMOYpninwZPwrCPz4
ZVlrW+6HaBAZeiKUq0KTYzpOD6IJHlnty+nUx8Iz9xWRwxFdTS4HER+HaNHyMTZ+OmZiKhObBUkZ
HgIy2zrDdP9rU07zaTvI5gAUutmtnbxban0Th/1ZtuJm8OmFGW+v9Hz2uhiCLZaaDXOs1zyq+rdZ
0ofKpB//vywx/4G8LmSUvx7M/E/bV/LL72tHhFEB/t/rd6/KhnGFNECiyxZ4iTXiFy0W500CsMKv
74orFqofawdDECJ+4VCYbQKzeVV+rh0MR2VjvJMgBDHFcelQcP8G4QWW6zddBXAXSDK8QBj1Qihv
eKZf1w4+JnNdB6y99cjwkVcGJdXUfiJLdGpJJ7Mak1M9TkWCOYNvAVoGHLg7OA/WoQydQdh22/xx
4l4+JhPd88jf+yp4nCtLC5ZshDlfrnxT7mJPoTch5rlitM9b0l6JaGhz643HttGvXex4NpHwDeMZ
nfdex3MeuYtj9g2DVpg9GtyIWIWLeLFRRha5Fv7ktbuxw1wSu7fJkymd8nDx49woueylWu4o5qU7
ytvL5KIgw/79AfNMB4xreVN+fIZM1+8GJ/uMWxh3OthiIgHpSibp3ZqS97ZcMRJnVQOtxpuzNjH4
bVxX+cp7TEs6XmZJeQq42cOGUmYDCpuMzu55FfzaJPLSl/1F4D1laqlGGBzow1w1O8sBazWSXpeE
PpVLa7AOgdxH9iGEWG2h9TQey8IwOHbBUuUl69+DgfPy2F/4xPMIQ3T+aGjdv6CbeF7WcL6YDXsO
DAZMZIZkMIwvMNacKtkcun6OMVyKVBbOWJOnAAyQKNm14PQ5GPTmA5pvPejNRdNM645GKy/WFNU6
H1Pv4KnpIfDEWwS2+oDOJSfoRy4qfjXuFU3bPuzjV70E6jCN/qGdNIc3Zu7Uc0qEfMTErm++VHx9
mx1wtQCcQDL1KsmaUTD2OpL6psT1ffKN9I/OUHVLxzK9DbtSn5e0zMMUK+ucxEczLnXmC7/KRZgu
N0G9olCqVDcfoPm8n+W8S6pOXAdOfUEdSI++4inmazET63cV8v+6lPoPXOewLP31OoeZ0ytOv3rV
/2KpwwN/LHXb+bmbSRxVTeDjXyhDfkygt+DWNALM+s2UBzffr0tdtCV6+tB1/2nL+7nU4VQjUCU4
15lB9d1qqL+z1GFg9aelDrNvkDkx6jIKWuy3MklyZm1rmbr1/ZYfe14eBMedNgbzZUrsgr2c6is3
UXUI/DU4pG66k3UIVV52n0awirAt6WO7iKhIg3HJ+RwHWR2KIZ9EuGa1N9OdMMzDQDled97suruB
p+9FtI45+Pggd/56gbhwNUbhkakUPaUnDsPSvy8ZV/k6sOt1XHCTqMYe4Uc5864e0NVE55VVXcbD
5Dqm4Tseof4wFbtP56TZybG6N/74SgGWoYfjz7aL+myG1g91K7F5Y9frWCbvXQkRBH6SD2mr3sfO
XtKGXM1J++RFcFbBlpaj330nRwBrHoFuWc6XBLNeKes94d5HWrmcg1c1/pBgP+iv+kR9oCy+CURX
ZyJyB+siCXNZ+GpaBsjUAVHxEnjD4lVkKDDbXTC6GMLesBSMyamw1i6QrrvbcXYQXXhwVIJWmZun
m3kDafk6kwMcDfs6Hh5cY2tgTsAVPbreBWX8mZr+qZmWPZq2Dp4oeefCeL+I7lRBA4HPQ9/FU/JO
DCUv+nD5EFdYmqs56nfIL2ly+NfUPqgWvZM0OZhxvR+dTPZEtGdH2i9ihVGQGfouFiNBz0/LPFbp
bW0TetOWydEx/jjchOIUT1iYZnaJF3haAMDuq8RipR3Q35q1LkxgLPpd9kHEwPanQdKsVdUB+6rM
mk59bpJY7WqD1Y0OZN8ydK8+LxazHCvAMxtU+Wkcgy8ITP4yK58f+RDebJ0/HKEc0xrbFfXShs9B
1EDkXBjcNGUFj9Fw7qL41EYEcprYj4w3ewKltVicoznl8XJg39ZhGU2mmK13X/XzW7o285hHPqp1
fxwO6xBqFO/DOfQGCkAUtsVYiUxRUNGSJWwXhuxIPS4PanSv0ACf4NLYwXdR+FtngEsX11H6XgUW
8//B2MchJENRpdwVTTKh80Cfm5N1IoVpexhRovYhtZhl0jLIMKk6yTS+Kq0mAKTGetfyGvdFArcF
q3uyDwZFsV/G/t5rA1g2ISZcFirvAb5+Dvgc3puye2AjXLHb3OrUw0GXCTNDLFmnQoeqzbi/3iqF
O6XuYFKFYeKuTKIr0fn+rvfrMItrfIAyfjGGnLW6r8Kwz8aR3THWlScXqxsHz2lmQZikVL3BoNdn
w1K/dmHXF0mjm53nPCBYK66PORowyRwivhOrdwiWvF5fKA/e7HhV1yfQ4kWlgOgOJS4D25Wvy6bk
0WW4LteGwObhPbo+PEoiPLRr4tnjzZdmwi1DpcK13Ud7naII84CNp4AGoYi0T5gQfU2tmnPucN0F
bXIIleRFiMEY2HJwIJYP8sqjLromsnvy4Iu9cRaKK2YidZGka7lzq/XyqSxVzkdfQbG013ZsYGhN
ZJ21afUoRlzNUcjJaWxrAbsPvnHosJhmLus9/IcxekfQxLqza94v3kMA/8DO3xy4YgXv7NkYc5im
Kfd2MfVODSY8wiHkbCjAFOJnTcFw34XBpVX60S/9pzKq1I5Qey6BbRbBuroq02oca/i9yPihSSM9
F7GWcZ3rqb5Mk0XHY2zQ0X01lxL9b6VhVOIivPpv7wMFBF0MNum/rgkwwTD/qvXBg37WAwT9DRKj
kPMPjwuNgZ39rAcAm2ClBXoG+OwPGO12yjKOGsIE9X/9iz9kExwbgJkqtI4oCnBWFQjbv9H6oPT4
vR7YRv8xoJatyAgxFv9j62N7pzFKEsGtdqGfr86e5iUEG1UHAarHYQ/j8ZSNZnmfUMgKmoefwWxd
mXRpdtGmFtcOnbkZxcVgdc6kL6+92h8zBgZ157S9cWOsd2E6qlyp6dOSyo+iwvLetQ9NWB/kYs40
oA9Dj/WvHha4DSGTQLOgV7LDMIZ7yTvdAPxs085Axy3fwTn5PsKQKoPa7/LYdbcRD27JHBfpoM5J
O5yaaA1OqwWHPjWU5Va4A4AWWDP6r5BuHqaZR2eJugeW3E+sWuBvXJ8dxJ4MjCrNAgyEkDHQyd3m
kfcdmrekF88zmV4a3Ji5aMSRTkpmPcyAgMUwWTTWSCQDBDdNN5zbJgwAoI1fBytI5jxl8rVlt1U3
9vnMh9s6sv3ZdQbia1VyuNWQVtCIkeepz8sbHSt/h2HfCnNxuH5l1DY3Nkw+rxU+3L7sxD2FtJsJ
PX4RkEeua9WeotSDtEr75SCkZre6ciB6kxnfGkoyQLGG503nZox7pEDIAokPME3yLB6hjIcu4fc+
D8hh7WueDfBVZ50MsF7Os8qqLuCFv7T1MQgcDNdVRQ+12BCNFcBB7FC8+UphrlCSHXELup9QV3vw
1uU+nIO2GDsD14wKukIG9RUknstq6ttGkpNZ+LqrOva1XDGFrpMuLDxdBbtlWuqClMlygFOvLfxa
MHwQZIGmNKQHU2Mlr8EIH1IKWb7jI5gLDLQe0CGxw9RHooCvqD76flnuUOYG8F8E3j243zDrVrzT
wcVxVqE43jPumbwGYpgtiveFhzEZdO+mOkdazwdOxdNC9d00+bIQHlsyZfpPqoWFthIxRrNDGp77
FJ0jJxtatG4fUUXly6yj+p3ETDDTIpXHZQJHRR1XWVtKchvBi5qJfkWMAD73LBi96chm9HFiDhE9
kUzVGwxOCXSqpCws77yjb+r9FLVFWcoUQAGAgC6VY4YpcpexsIbVqp7ZbgRcnse2ju9X4u5rNz3E
c9cUmtakylva3oAqMEcMnr4auX4yxIq96cGXtmk7XlcYIuSBi3ftOMSneJnLq9hL7IGVMnyg3vRc
pcp4O99MDr0CdbDKV1P/ecarSlYPURuibjPNxHDwquWJeDPZOzhmc9+mZ9nRGEaZhYDpnqBkaiRJ
gEPBEJ0XlZTe2Qv9YxUE76yuTQ4N9akb6nNSyzuY73PPS6519FIm9DKp2H5YmvbLHJsrF3peJtE6
79g8zVcTtuNjmho41UaoFLzxryieTfTiYm34dcDAFUVWe+3PPslsmjyvDLxMVa8MSkP3phNANJix
n1S93INLvILxF4DHZgqWHVOHpiIYKloBx/CiXGbhrQUD152khoKT6CDaLwu+QjJ0t5PHH1tXvvhq
+tiHWB6Y31vEVoyXaiavronjQjcB+Ayt+J5MBMbUAJBROBa21ihcV5TxrbbXms3vYWSAnuuFd6lD
hIbqEnmCdR1/0/ioCxoEmvRGXabaP2I2I3MLp1ztq+G2Ss2CNIcaLYxLd8aNX3QZN4Bhqx3wiPgj
pNMuKpR0SAMxn1WYnOQUfcBIJjpVHVIQxvUTQBLgEsod8abbvaBAPDqy7to4uRE1VplUeTAVzXmT
wk9tFTl6Q3xc5mFX0woVbzXfI1PmCi6GIC+r9pNh6TGRwQ3h/cELhwMHJoHvNHctwe+jV8FgJNDV
9FVXyR24K1NYtZxMFwp45drcC5t7jLY97AVT3gbLRZj2vku9HanEUwtWT8TymEyt3E1d9dRW8IDA
N5bJUidZB/NkCXSnauFj0A7oJM0hT34pt0wT7GOIN9GManZXdU2b81g++FsOyn9ro++1EWqJv66N
/qd7fVPjvxBL8KifxdE38Xcj7EMclhdtQUU/iyPUTahIYkizv42UEGEE/Bqxa99DGn5FdHHIFsF5
F8ALv9dNyd+qjb4xpL9ykTjfD0GfKJC2Kg2eyd9qI9VHaxMtpb712+AJntJHqqNLF+r7xqFcmbcy
nftYlkl4rJel3nVbKV9uRb1xU5n5A2xEyYKVHeTHgx9i4RN9QrI5NAg0WQk0i60rSvGzZKJE0aKt
O6V8pFvczuO4NRmrVCwjyl17AxqQTtYoIramxHNRuQO/UxetpR7qs3m48dHF4Hi66Dqxq7yqKUJL
VAwjPi8hSdKt/9EYB7GtJYoFNqJ1lE9CMsyKtr7JH/VpQCNVMsOxSgEPScLuCyDCZwBYXtbS6KjQ
hnlbP1YO+nrdOrQ14p8gWtXZEE0IekAbJ8dTTa7I1tqJ1zHITcqPSqHQmS3I/mHrBROs4zvZumZH
V90XPVrGeYUs7sz4NqGZJKafs9THGxptedJoOBfYeLNFFt56NaEXdSF7idCbqq1JTReskyn61pGP
uI3RyIaWAaV25Bbu263JnQqC7KXcBInODOf6lGxNMbCqB7q1ySn6ZYe+WUsGqmJrpSsiyJ5u7bVO
LBrtGNJ/XypTtFsbXjYzyUafXVF06MsES2UEs0LNJAQaDSVka+eHABwo0xguxikAPRg2h4JvAgA3
PhZFaALcU3WG1IfD4Ndn3SRPYbq+kk1K6JYmM5CJaytgNaCiyeBNEFkP9WH2Lc1j6BEBwXtZoVCk
QVfnTUmkf9eHRj4idAtPPGrI5+p2DcfPyLpSJ2q9O1zgr6mqVDaiDjyLhnwYB3s9otbceagkdtUc
fIHu9MUmy7LXxqGX16w8gvX61OEWRblNRd5gAolOcnqMKNeXjvlnW9cf+zW9rAPBbE2Jg5q9q2GB
hUL7kIIMh6lYNeWcIQXkxtQrbh/7JHj5aRAJO8oAdF3tdY/lGsD8Raf3Q5CcNiffkUXqjAlfi7FB
3O2ZlqeYR+9G4Yszyu04a+r1ET9zvkK6mAVso1Rh4DLNv4FVdgQhR9Lty3MQG/y4jHekDN9rVUOG
XBFcorWUZ00nlzsPG7pYqgFbb4ti3Wn1gfslP0ohxrs6jlB4BfC2wOqyZ1P3DNNxjWAmAZalRplH
VYUvqJdF2dbQVaoG5r7F0JOuNqWojsVupNPJX5l/Gpg4JaRsDzFeSzbEwZJhWTQZA4+B+mfN1AA/
uhmOtRfvagWJoq4N5satR3CnhSYHd+WyJRQJzO1wGocE5Bz+A5voXY1gF6XtO+LqSzROZxXAIx2O
jzaBjLjq7gAbXpPJrlwz2ZAb66Z3lYJYCSX3rgun+4bPz6xx17pbP+gSeE8D7j/rVP0MNvYcOv+4
aP1kWOxnwySRUaVUkKWtu2r0UCT+qPbdAsmTju66HIP7Ri5t4WZSJLQ/0wluvEVPX8OofKk4uQWA
fANe+g4hMJhpWf2pLCP47Zr1QytQU4cDYwXgsBfdJehsoJJlhvZPSoQX5/WqsC2uGgDyS/MMH2d0
rMJYQqneJBGhgHZuIsl/t/BvWzjFlvbXW/h2rOOfN/DtMT83cEgYiJkA75Ug7HJjOP53A6f/wMQM
8rePqAsMVf8w2GVgNIB+YBSxBS3hUT/UDaQzbVEfSRD803f8t3bwzdT3B2Ae+YTIOQi/BblTnP8O
/OTXwe446A42U7reAq5GLhg1aIhTePb7aHlH6uFQCvY5nMmwK/vpkz/h8twmsL4LLwh7a3dD470D
1bHzo+U6WmENjky3p2VrMp9Xt3HV7peS3WGQAiMJmSiSbfxD49LrOYCtvVMHkHrHqaa3IB3CjMVr
k48cu7qJ58c4UtPeBOSLF8sLypAeU4qQXydxs0VfNEA5h6hYqEFGoOcfuqA6+RHC0HrKnpM+uNO0
vY1SU2XTKG16Fdj2uYGmXboGI94ovW9r/sjBA8rIZ7slqlXGW0gLiwmhovMa2/fU49wDPM8S2cPq
QYAIMFf1YnLsvMbfc+iJSCSCxdiklY8gPt6fJ/hdC9rPSGnENH2HhJK8aiNYl9tPfKp2ZsFL760+
TAP6sFxB3nErEgITX+zV3BxHKQvEWaVIx8OiGLbkRBd1Cfy2OhMvOpdyAd87+n1eNsnVDEovT+f4
EaAdZhpsxOonMVbg6RjCBxmf5IykPLWmcRbpqD2xBEGRDRpZKdFImvJFc/ZUewxdjRccw6X84oe+
zDoQdQCcuh369DmjaIO2CCRMXUqNRqzznxaWQvJ30QnjCbcLef9ASHtExZHkIDdJzlcAngqRKKd4
BrJI/AaRXHW6ryQQmFVUSzGAE84i3nyGqwF92UBsbryVIgmSwIoUNQVcBdXB84nYeYb4ezv7aYN1
mHbXTVxim5u86Mi3imX2WHPqGRrPJETTiGF4hgNFaygqUTscR81V+chm5p1JLN5QUPQFK5v0DGdl
lZN2PCHs4wlY95j5hh5DD3GKnUEHKqaosEzu0Daqi2TjNdDur8pBVgjX+eI7+6HXS5KBHn6e6ICu
OkiD3JY9AqWYXyQaRZh0V13nh4hyrO9Xwyy0PX4wc3QtV4Zbwns2M/FBaK7HmvZ41Ty8RZd9mBjZ
R1UtMx02KksbfagTetXG2Gn81LysPQB5v3mXOuR4dVF54nSIDpDGu7wmGCeNtdL7SsjX1G8wu/fQ
QXKYhtL0Wrbp0Wx28jnx3qqyeqe8Bb5+jyPYkPpvQdU/g7veebxF24dU3lc7RoVHvI82BMw0G4a5
OWLLkOnX3MdN+GJ6e9EkeUtWfVmi/mYl4QURMAC9VHTrUApdy7E7tOCbiz6JL4Awc4jwaLmpeLCo
OLOmWl5o8tR4RbiwS19V+xQtPrSSChVK7z1VFn2Aadp7ViVeTtX4sffMQx1PZS699U5EmDnEgdkF
c7nrqrrwvPi4akhypqwHzKbAZ43NkrUivYZUfEpsA4VRIFAA3zqdEfaTOH5ouvUlja3ZGyRcxgxY
1YixhVdvQZTD1TSvp7SvPtGo95FQSnasm9Osr+pH00af0hEZN5PTCO4ckmeIZTInXYmbWIltVGSK
bsBamKVr64Apw2PxParmv5DBllPx1zsujEOT/hd77vaon3su+QcisbBxhvBrfrOk/7rnok/14XtH
t/p9O/4BU6X/AEaCP8JWEjEfNMGve+6GPoHg/L4b/83Yw233/n3PRcJQSL5FczH073/cc5GwwwHl
l+Fts/bJclpjhRhRKwJT3gL4DhBi6sFgdGRbrqk3icdlSzptwO5hDo01nZRxlcF/1xRTakIs1J1/
9OcGYt+WnDohQpVsWapQ6V7XLV21C2DQHHV8ab8lryKCtd6iWLdM1n5LZ7UMpDXbElurFKMIcFQl
zEgNcha3ZFexZbyKGPm1W+orSar3FjGwFeJg4y0XVrmdtOuhGoCE2S05tkGE7IpaWSFSFhNVJIFt
KbN0y5tNt+TZChG0aT3ex1sm7QT5E0UyvUNALlJut+Ra2CvkDhWEgrNp+Bog3hZBq1iYvaQwyxdQ
ABF266GwWyJu28lrR8P3veRop7bU3FDDzzYGABWaniD4VYHcWFk6IurEXYIVCwVFBO8EV/+k7IUg
mpdgA8YJbwcd6GKEAQuSMPYjMElI3gi+GOhhSOtA5IafYbxzhYyU44oyAyhbCfQyQXAsNDW2iWtt
2x87qG1O1U8t1Ddj5H0/+hcBVQ48N1wBUXdv8ZVOm3Dnu2qUB+MRtmdxfyZR90kirSWHH/cKwvAV
PDoS6ZKljM8soOM9cRgavNRjy2mhA8XlvbeapT90BEId9xv/A1BSJAbHtvlMowAK8zgDnJ8+I5xy
j9KU5zPDH1fT/AXjAp3XiGbMOuuOZhE3oSxZARRl2Q9GfJ097Ig1Wz4ivebJrO6eWPICJ+fZV+vH
yiJZJY50UCQ8fKuoO88+X15aMTQZsGJ4JwMQJha+vchHnxaN9zAwHJOReVdwFD4tFd4W+F+ILpzd
lk4DLBYr+p5oNwkDFbaJ08LEi39ck6+kViHsOObZGngxuj6kuxbeoIYjPCryKlj9YJrsSQS6z465
p8Rn3gxr3k7LumczlKB64Qfq6Y/IWTsq3DaIiUY9A28URHa9oh0G00fgO3BzWKKy8u6wM38YjY9g
0IBArK3fRaXgcFbRBHIImlFYNeEkOLZJk0BmUGeJcXIm4PuaBhYhVrr5qoW57bvw1WpMCVo0ws1S
30AeuPRI0czAh1wkTGoZsi9sXqOLHEWFLdjY+TA4GBCMwDScpu2rbNjHNVFF10YnJC18DJqgf1y9
GLyMYLBn0uhd4olHB20LAdMfBhFWp16kp9UNl5Kz/oJI6w8xBhKwNT96cXwSAbv1Un0v/PhLH643
XTceG4Vrc42ROtkTOe3g8XywFoI+bDGoVw9jLdIC1brMcPfEL9rqk6D19FAyi2QZ2e4xNLvERjf/
1YM3t0DkB/+2mdxip34enPnnrnJ78M8djuJ0SMQwIKQBdudkax1/ysIB4nsTVPMx4lowucY29mOH
g9WA4twuaMM/H/Wjq0xwJGDgY9/7J3v3txi6LVjqN1UYk/I4wj/4oRuQ94eeMmp9n9XluN6u5v2A
zLgJQs0ve/7d95/1axzDH7tWbOD4qVDHNiMDdmY/3F7BL3581MFxD78dwUwe2q4PHx4wj+jN2uO/
f54/vpM/P89v3bHySI9WLcJgskfxOwKFe/v3T7DZO375rP78DL8lC3AC3GvCTX9LNwNz+P/YO68d
ubFs2/5K/wAb9Obxkgxv0tsXQmlE780m+fVnUFXVlUpVSbeAc3FxgPPQBTWkzIhgkHuvvdacY95Z
zldKc8+R4NxgBFNlrx2eqn7bx5cd4mElfk8wV4SXanlFNzMUldvVB9NgkQoKxH9XfXIj8sgfIXD/
/J0uOLOfvlNurI/XXIuxQIhmuRbaKpjhyVQP/YCQTNEvRACFkO5ZPH21GLXX/NE2Y+/nb2ApwH54
AwpkxiWcAbLgZ6BFYYdKN8jWdIHqLVY8xWmyY0oXpfOmCh+953yzS2C32DcQk41eXCsZsmaBAsob
FnNFs9gs1AqGDm1XeS+crm82Wf6o5tpeBDKNNVVKlLuRlvFGS53EBq3YudgzV42JPgw9mjrgeewm
f+iY8s0X4JlXObVZCXCoNzGtjc5lDnN/TtZBT5eQ5np7yzkbVmbmNqnpDwgMVPrNuHE9a87cKan8
1LgFdFL7JqKCGTZPPCler/RHS8bPVm2n+rFNcHBLDEJFgZ9Vv0qSUzLmm6FQy7scfmGFn2VVslfr
pq8noB0X9YIRh7qvx7XtyzbigTLNnjqJ6Xg+N65jBNR54e8ap78FG2if6RGMgz4++J+RLSJ26NKO
7Xwhb7RtsJuP3YO2sXfNResqx24LiG1l+443rTVvDwhsXfrjk7RL191G3sALWSe/edr+9g1973j6
8eFChfzxltUzKAb5csuW6Q4VCRJwGv/1upZ/sRz91Z35cTn6tOChu52zKOJ1JPrFt+NbHXrwnyhX
zOAXD4Hy/SX+7SN9fAiYFX78SA5PTKM5sXoRaR5ZCiNHUFpmLg5I6rLwQvzqo/3VCqigCJQ1aKQw
gj6tgLmZjygqNRX4LXrd+YVByc8f679aAD++wKdrJxcxfvRQVS/awe+NlEOH146/5Kn+1dLx4VN8
WmWd0TFnlK/qhTMwiNl35i1w7p9/jr/akj5+jk/L48Re3eAyUS+QpdF3Ea5sXjvJ2aEb8O2F/rsP
/n9r1Fxe6PVDnMLvL7x4Hv9/xx5wzf7+5L9GiFH8BZJT5qf+qIsAZcOGxgwF/NKiLuB7/k9dhLeA
WlelHJH5Fwvt6s+6iP/P4R6I9tKH/zgvN3BnMp+1DAssjoKt859022n5f3cfLkwrlXEYI3sLUjby
RN7Ex6c3zVFajV1gnTn57MOuHopTJ9TJ9JJ8qCroBnE/b2zRtrAq8nC8L53FWFg6BVKdLomeRq29
Ac8w+VFbpJ7o+g2oeD+dQ+Q1cqHCd89Mt3SSF4rR2NUKI15NUosnG+c0asrOMzPpCRbANdrBB9GX
SnrVId67Qde1dcTIlD1AQgKYIpRj6ZwGhS3gxtXo1KTwaaq66DKgQ2deRtlkXRqF3Ub0MBlNuiZO
hNI3glwubk0YIeugcSKxakcl6C5qqY1olep5C38lFQ+p6kQoJdNyG0dJMm1VuTkBk9iL3rg2Qn1C
/FLcy3N22+vIf8qoelUXa4MZ9S+QC2Kv6ZIVkPCXaDHVN5J+NnsVt8J430exAWFFOkqD5Eu5TkW0
KPr1qqJ5NwmGkYWlrxQ9ekBAbnu5maKxNm5SW1wkCZirSYrfqKBv816nG57Eqzbnohh2d2VptO7B
29Rbwe93afanz5MGBSAV8VaeHeHX9dKTzezbOlPUdVmkBarsTnLHRN1GOMKKYWh8QL07LdLwaOYI
NMEpzEyB02KlJjRKsa7ttUq9CtQ+92Ytwu+gq9sypR5Q7VR4zjSquwlauCv18ptcOr7dtzkwFCNA
Ld9u8sL5EkblwXSsQ6vR84htZGDa7JCQgxoKTNd6DKQ3w5nXmTzusJ2dwwbBHEJQv2pmc5sXSxZB
UH3tSqlxzVikbi/lryJyRn+Yikdu6Y7DKVg/U0eeye11hVy/czu7PHdGItEeDy6hu1wZITPfMFKu
g4pcqz6D9SOPjeEh7WwXsagfGeUjYx840WG37/gGu7ZfU53Fm9HAJGPKdbmaC32XD9PFWBsPStud
meXcJh1kqVhu7/Mwul5gD+jw+40SLvFSZqeBXGiuJyu4Rcl2Ndc9j4gCbxWDbug6cTz5ShNc9oQK
TVkgkachvTa1BOFQr9LNZAQypAInw+CDETo0WvI1ZN2HbTHvy8q6SMCTrEvbEF7VF5qXDwy5al0c
GXq8YSbex72Nz7CNT2ZSUcXJ1gH7rbKRSbzCU1hjitNzX1eSL0xwxHpyugsmNY+DFMkej/rgJlNu
elGvfc0nEK9pVV73c+V1vUXDibrVshYMUFGiDUyHO1XMxVbSuTuDEDFIm8XvDEjmTW9Zj4YwblSF
b3goU9SNjbqj3an5gCSP0UB5bjI+9uRc19eiTi7i0MR0mV7n2XAOI+5tEVkocJJ0FefOpRoW9drM
8AyKSmh+3YyTWxfmLRPBgS67/DVQ9WdZy145/u5qocluHDKRCyT1XW+l+zaxHC/P8/tcdOpKdfB9
T52yic38qZz0gyGVDNeWhkyr7y19NK+0xK4sOn8yVMmoftEEbm3VwKa3CFx6oz6Z0gipMi03ZHy8
NJr6VENh3joyfZ3KsS7nfmBu00U4TxqUrFjQCheb+Ssz8nYnW91NVHRI3So528Ixm0D4pcQuRdpz
Zeo3XQ57RUBcWEMPo1bs6akmVUUAWiyfB8wwq9TQ3od5cvzCME9Jog7+EJTWNk0LB4uqDqi0r2mr
yQKFsy5epYEnWWnxaMqBMM7xaMTgh+rRt5mD+JpaX4vCxMZoY4FS4H6kMSM1zY45nmiTHxvJ5E9J
VJ1yS+ymPHjOi5F2rgSQmMZ36IILy7yqSV5Nq7AQPyfzyiiCdahr09YsmnpXVvo6xS/lR5aZrW2b
Uxvr4bwpkvq5sQ3ANRJiw2BDinB0FUmQlSCgOygRKCOdLnfWowTC1EThdWUSjba2amUHtueYWDEm
rzyxN22NHQdtsewFwzTto75/SxHsrCNoH3smW/ixKtw06RgW26go5rtZ5Hw3YpLWBnY2Vyr4XkPo
OAyOhx24F5D7ik0Pz4A4kjn7wJkPUjzn8G6qZh2kWLDyhVBt3diSZR6ZNeIU6TGP9cN0WfXRbaHO
Exuikq0RBTH8jaQGUl73atYEB+WAGzajDbZ4UkBhI1QZXSWLLrtYvSyCWfbTMh42VTUf6MUfkTr5
9BMvB9JmVlpSy7SlOU/GVnN2jOTVxu+XtQGyDMsJ8LRJBjoxA12JPa3IXxmYhNagX2Vxjx32S5lK
l1kT36SMIT34f+YqaRTTbfTqPaPVGTIsZNit06iPdX4lUmlfZPJTBabKHfr4HDg9XjRFHnxRN4FX
BimTSRr/yZiE93WUIU8KnkwVja/KowsF6yva8idDk/Aqd+eKbAtf7/LXwFCdFQCmFGxSdt+XdozG
KsZJJElXs1zJvpTFJ4V0H+RM6SFrqER09lRDGljAFOV9tFukpMHRDqZ8I8fTng61s6gA3MQoHvKp
OY8FIYXmBHSsgQ/FF7qvW+VAhtybVNlfxSj1rskJGKjbNmiTd1sa1m1fdpsWYFRb8beilO7lRIYm
d8iTCI2+hTUr/eL0yQuUGa8aCH5KGmuHO2C5a+zQa81mz+xvTVuWrycHwZlU7WGcuZ/jQG3Wqqq/
a9jNXdWwbuIk5B+zgA85stcmU1wdJzCmR2bOVG7PVGC7eARsQaXjap25n40y9/oKNUNNQ8ARD4rG
L69G0vmC5JAKM9poefeqY+IMrYDuNjYp2cqxihX3isaGB+R8Y0QKeUy2dh7T+K4Rgg50i1NZqurL
KnaO8C0cX8PC2Eu07a3EUIhHyjdIjGe6ssnKVEQO/LTCWYWffI0vArLwDBcYh+lNPtR8NLtgVkPd
SWpfTBiTtlQPzc7Sor2Ykq+RYsTrUNgXk5JsynnTQjBW7U0zFb4yHm0pvY2yIXUZ9eeebBubJBkQ
FFoUMtr8otlibYrwhZ7OUVd7Wu2BHPFl1V8Y9C48KQH5qJKH5sDjcxtOSONgnd8rlYWzjkCplmP/
VguzrYoZY+hSP7C16qowmxzlWRGbeNvo90gP0VCWMoRi0Jr7dOQja5gxB3tYl9kgTVegUp8L2Ygl
Xw/KEOunJWKgZem+RPbnjilsN1kC8+OEODtKaS1ZdFeKVBLrWC99PU97PxjKR+TO86qwB+IUplAB
zZSAqSxuhE4oZKshh0+aBz0GSpJTeElB3K0dw9lFlv4FKMnlGAOeiyzGQ1HM2J26q/XSVCdWSwyK
KyGAZzuZqAtlNja46fR81OW7ozbvHSY1TnSsG7z+WaX7Y2edhy6m02cdsSA5btEmXxRn8knNO8JU
obopqxf2Fiw4xGamhX3XxrG+73r5fYZxt5kTGbPsYG/1ob/ETgxhZeFIcpRAExMJ2g/FWyPyrQZC
xDMY36xrMg/1GtBjOhB7h/PXyEuxZd09OmTLWJPBZofBY9sPPNGJygui3fRAybduqwyUN/huMMJs
KpVq11HS57SOPT26SCuiy4zJBWW1Mxo6aY49nKW2qN2iIgPASN4wE2E9UPBPT/G5DOWzARkgK4az
rl6YDMqBX/lNI4X7QS4fgAfuuih+6qzurnJKxlGzvALhNJrWzRi2HnXvearV57iCltJKrIx5uJsn
a94lfYZMIrmLYiSCFrXgKuoqwsFy6VnPy+Ehn4eQfl1yGMGb+e0AknHK55MYJvyrpvJYDfKXMUmv
hCi+pJWNGJI4jnxynjKjBOQUPeQQRP/fnOj/B/ICaJL8/YHef8/+dS6bv/QH8oN/nOlVEjMYlaOi
+52s9OFMr2P1I12XGf/vkJM/zvQLppoJAWzrBQIrA6b/zzRfV8iVRrPOUdz8duD/R1il79tXBixo
BWCBA/gJopKuy5/6cV3QJ202F9QP2EHkND5aYeppw7T6cGUufxx4qN9EAX8OVfgkCASX2Q0DGgjE
UEq/bx3AJk1xR6Xi0jCYWNK/tvWVMfdLlAd7uBqyeKPt8ZWuvHCm/lin1Z2lNpD7kCp7AsLnKm2U
9ICuh52mJD9Yg5jvSgaavUA0j6KtKi+3I4bai60varObihf01Cq7LOWYEaBVwFSr1ZridUALhyMN
y5h9qHNSHzA0egXwON8xTKxwabEOzGEN07vzexApnPUpzy39QbKtk6P3DkuH9hjpWekBBLihcXct
5eNZkoxzF7OWywKbDGTrXeMMZxHkRC45yh1jTVb4cBh8dRma9gMHTWleA95+cOzmXQ2t5zCfnprF
lp/2FhP5Kb40muBggoNbg8rZmk7QbNqo4RtqmrvSDLexjXCM3u0BG+kLeSHpeshlcjUGkCpZOVa+
RFKPm2GMpu8/Pyt5vgQXJhe6TSbhlHEUrzgV0UfoLeUOwdmpHPPeLZXpmhiPDe2gLU58CQMkHFOh
a5yKQRF7kWrcSBOxYHnHUcxynim2VzLbeb80EdpeZ36CaN9GksL3l2zwwn+1JzoZsmmcOFQwEi7w
X9YIKxSinlQBTHFCySEiJV6nSnYJuzBZa5rYzLl+CsMgdDtF3zgD1zYSqDsl0xj8qnaeiVvYIhO+
LgvKZm1u72MTmXoIx47aJ7tpRb8jnYyFX5NfZeKx3VBM91kcG5tRm5lZoTNvo2QAude8KZn6pooM
wcSobMsM0RVEI9QTYoNR9SpHXjZapXm0tLmgD1W8zkn1GFm0kHKzvEW3QIVaW+lW9GxElvBULVjj
Q4Ooxy2G9l1HaqkgfPtSJGXYrGdb6ibPMEdODDJV1UAkVQPDURd14cuWWCu2WExnzbjPMgPhNbu5
HOBD17U3BIU7pnrrYQZLAPe8Gu452VEUh6jyZkYnixxhVGI/TdSdVulbBZdpt0AX7PoL6ptrJZXe
bYevqWaiXnI3YoYciCJtO4T2wkfMqeyk3MDWKYaj3SBmkXBGGnGK3rEd4gVZJp7MxGrRe1anMJYD
r61GFD8LwrI9Vgn8n67dCtE9QmjGMu8k3pDIkD5LNJA8slqRXqIBINVY2jF70IngjKLVPE74jYf4
zRRT7iYi0YAWKtcwZTdj2b3TJxRET2ENNKtH0axww+wivQEuKm0n02Lfk59ngxA/MvVad8qeM/1m
EC0mzX5fUXFldIWSovHUNQCEyNE7TPraSmj6dlAJI1Mi9CVzNWw0K+nWsoJNOBz050JHyDeWwg+k
BgWlqDa9UlxMpXhqSmYK8aTfQ8a3T5UEw/h2SQYNbb0JtqWaK9mvltEfxic4zBUd4YoBaY8wxU8N
2Lalwgsmc7oUxJ25+ibYjzflaZeQdvOleKhW6Q73iRsc0I70PlPA3c+X8R+GBMvLOxb7jkq4HAbF
7xfxJuiNQTJ7zpTWlyrYOXLnOuOzVP4qK/GvXkddZOVMSclw+Jak+GE+7nTsWTEo0UslPoLxd7Ps
3Ql3UOh+Mfj6fvdbNqVv15M9UCEVAofM95+nhvhh9EokX5rGoTGBS8GA0B9+fs30v/rOPn6YTy/S
R7LcqmCnLjkp3lOMroat/Gb7Nh6m05JQ5F4Ttu4iO9/enW0/c88Do8T7dhWsrpK9cLfk2h47n3/o
l2v+t7r/+ftTf5gycg10VQZRYGhoB7+x0z5c7AwcOiIsWbnEjX8OrojPPikP4R6COL1Pf3L3T8pm
9M71WmwZDeUHjpVXDGLXoMJ+mw7+d4+G/gcWklzzvy8kV9m//LLBTPmjaGa58/8oJGHswdLErqjp
7JzoZz4Uksq/ocEzngGah5zmo2jGwb9h6UjemRxRRi64qD9EMzZRblgnsGXaC8gKncs/AE3g6eRh
+bPCYzhk83tYmWRd41ni9356mMJgNCRlwEypl/dicVMN2KokSl86Am1zCawfzxWb5aOhI1V30Li7
nSVZ2KMAPbTSUOznEEAE2SQNW53+AGHG8huUfF6lqMp6Xpr2+YLVpihqvE7vS7T4zoDdAJdYgl0M
HDkJ2aMdIYCz7hwsZewqxdqcsQla2M1YEMJtgwGti8cHemELLaG6QfGMjU+Kna0ih68F9rVRkw8A
A86lzPQTpaTiyk1C0I+h4H9gPJOJeDMtfjjsCQfgRE9BpzKUpWkTYZ2ThzBbhzUo+V7gpoKi8GKS
ur3tFs9dA1p97ZTju1ma72TQJD4cgd6nD3lyRu0RSUSxr/qsBIhpf1EH2pqLv4+3SdZcfpEaWM61
wfKkyCzL+xGB4IqlZ5MqkOsMMHXYwtdhiX06iEiYMwh7y5TVuCDtyqza6EDurEZcCzMNt0Ro2ygo
kd6Qijb7CQfOVS+NF1ZE9zcGnBcD0BsWkh4zR3wZik3PZuHsJQD3skHsNLN7BuYNzVijv94D55sX
Sp8tT/d2BrXgcmyhi1bdSNs2Y0t0jpFUfZ37iP46EphVm/TQ70es9foiMs9jZmR1nDi7qp6iKy1V
7zCA470D0b9V7cidw1R7mmU6xcjSnf62N7PwjEq12s9y3oBmltJtZZQrkcjXCtgjigwb4y38K7oZ
8f3CxUKf39uuJsHi0UKmOhUyLN8oSZ6QpPIyTAIaodgYVJO8WgnXq0hwrPYcjDJzr/cFl5hs9CAZ
HyojfrO0/BhIZIAWCl1c0dAEsKT+C2NC6Ee69iSp2TPlNRjH0NpMjl7i+k0YFkLVsoivHYn+klT6
+/ViqSDKbkwsXLPp0Qws4j/oAhI7cpPPxVc5K+0ViQvMA4wJLEAKoX6QklfFlB4NFTxBNF5nUXec
BukW2Npzx3bJIcFx61461GNzlrXgbiySwyRyvq1AvQ9zVK5RE9wSO8FglitUqSFhsBV1a2o750LV
nwJL3GH9mt0szBJMlJTUxAy8tLpzLZrkHNLPpuuH39gaLoSiX2skk7l5EF81rbKDM+zpKJmW4U5v
ikMlGS/h1N0vx5WwMECeGBdRPG+1JncrGWtm2k6PRm/bmySkY5zG6JZZ5uit17RUAeczKCI6wRvi
5rFp873mDKdUI3tQnu9p/ttcj0Dzak3sqsZYAlEWmoqUXYMceam0HD5BmjXubNobWszaCoiAvQq6
sl0RoYGOx0EVrcNlS6o8AXBfeWOLF1SFqbKsuKxSCrMTfbgs0V65KlTgNf36q1DGBasgE5a5BKxJ
V9rEVKV3Xg0T7XZlmXeqqZ80vU6wXoHIIHWSSPdliWsi+qKhfKM6BV3fiKb34l5r4ds4ipFtc3Bi
pEWDh8PP45ncb/0c3iiy/mLlKLVD1T6BJw42YShJa87v14oFpaYOsS9NqvWiknuwUooMvKZZEYFL
QkEeq/qiiV6nYBiabg5uknpOvLhRbot4wO+FMP61iqSzCWN9BVYXhmf8IKLhgjn4NjfsrzMl8KqD
mAffRIY3U1dY4lpDQlPfzvlDDsgnPM1qOGF+G0rm28bBsJtbZzF3NovNk3Sa53KOHUh1g4Y1Zn4M
BmyeFu5Qs5Nqb+6bSz3OzhH+UQ0f6YifVFmMpVrR7LNZXSH4ylZ9Z1zhIz31DlN+c7GlJvhTbXyq
9E4BGi3WVQMxHJV8f6vhao0DeU/KwX0yYEJKTXthe8yPzuKEraf73BBXlUguuR+4CHhmc7yzswGj
q1tIOYNcMJLEYDs63U2B41Zh3EVaykGXx7tCddwAZ66JQ7dyGNbb/GFczLtWZnIsWwy9jgmlOV5M
voWMEXhp6om42hb4gJvFEGzhDA4Z/bISYRY2Ftsw3mEMxFWymxdLsZSSbPDNZLzYjaEpqTu8d7Hv
LGZkOuoFY3fmRHCTFeb7tAkW8/K3YuR/q7IlJO3vq7Jj2f7r/xThe/be/liXLT/6n7oM8bGO8kan
z/NJtIOexwERiHsW+w0VG3qaP0Q7+r9tzlALbR1pGp0+TnJ/1GUq9h9bQQfEMAu3D9CMf1CXfa7K
qAbRC5FQsXQMmfgvf/+huic+HmNJgZKrz1ezYbEDbvT64cOF+b/o7i2xX/DF2Gs0zL2qTVvy+1ep
wcBkxmwk565M4swvCZVd8nkm2wvgba0SjbSxktgM2os22SlshF42BweCDZJruYquspiV2Yjio5Bl
AHrYRVn++8zNlFj25BAUu5rv+iE6xYOzrXrlKM/iimSRUz2Xh7HRLuIm3MsJjrkc8LCbyLWztsgd
dzmxTvhInDdaL8Ilu4a/7OjmIa38GhNTjqTGhJ7DyZYyNeDnR4sljWi5wNwL0r42gRgtv5MAGyUO
IfDs2iW7VVcQDqTq9wRiWBsrM7RnYqZaV0KHuInlNDJXUV9X2aqc6vShpJ/G8Ax9zDZ0GHPvFI3Z
hTto9tmc2mnckP5LjwSSLz54rdLs+1mtwTXVKiE80kxcrVIKqIaUwRagCZxReTdBH6HcvqCjKZ34
/ZUPj8BNpbE/lFKxsUs99jEbopWNVGQdlh1vtUxP9/1Ym/Ylr9dqz8YUWu0Bj+5Q+uGkXZdWY4yX
kZIwfgkn5+A0prUfoDE/LRbxh8GCKWJnpCwDouj1nV1SjnqqauACtaMBe4osWueuLG30VIUOc6tH
f6JWY4SlBf0PyfTTblCN4ez0PW4orvmRqXX7pY3Cwzgx15hGW3WdmuAteicrixAfTM2DuJ6Hfp/I
AAdILnauQ+pwFzUZw7PJwXlc5QzdUt0HVORbdfxg58Zw5KsbfLOO51XTISxrKencMRvjvUkBurK6
ad50XaZ4hRPo5zYamANOpNiY2rAVemH50ai2V2GVKCtbyk+YRQBDtsD/m/hKL40dMQSAQsxsW4Kf
9kNNvmwdcdMRYXIXDqP9tZRhEdEFM8Vofi3j3jdyFMtBrdzKUr8OzY7Sr0xXjpSvU7sFeWaHbmtW
b23bvRdx8z4l032dSPQth70z5msWEHAt8wZOw2myB19zui15tscZMknYDC+y0Z/qXFpnEBk0Au2b
fnotkOGE5Sv5ZoovzEzbgCTjTRjDk2HGL9ls6pAk03aPeYckVDEfoeOB+VZPJmQ/0adPFV9f22mw
XGxrBfVmTeGx7eX5aQzaVZhzMqjl2sXiRhXUFvKOsW/iE5rkY9q/5DNeG2zf/hjPoR83AZP4QY5P
kW4yewzUqy4r2hMJC4dQHbmZkdVk9Yj/LkAZQurBweEhkuFoq07jj2h/7Eo76mP5gG/MSxmE92p4
RWT8kcRXktCcY94PV5ET7zO1WsFvjYmIG+maQrNJIvx0Pdl/C+XznErpc5kqz1Wa7+MWzndm75Ne
uYLE65Nz45dZdjL0xKuzejrMlrUlE5Mce0Q4dWpte4DGTlNBdBvZ4mext8t52tUzsBFkZG/5FFg4
nIrMn0IqNWPU0k3tVJugVaTreZLq9c9XXiSerKwfT92svEg7EYAi4OZv7U/rezQpnDfMjJlknaoL
OQOU3gC7kU5/duxyDWw4CQ1hCTQ4r+Z3parbq7pO5Vt7ZhxRjuN13yRHeSQc27Ee5LHbENDwlYSi
kLw6UFkcijjDEkJRztzT2YLeDYzWE4mNnKseSNy1uy2D7xfEgL0XJ+29akX4G5WOGlbGBZ4VnqjR
RO+UKrWwNxcbAok3KtV0BoMaAsjblOU3vZXsSec6zG22r3v1aFXl0W5VkIAA3f12irfqGBmYSWLP
DBiYRsAHoPBbfiu31/rUK14VmXs5cniutVA+Bp0CXaUZ75KYRA/H7GvuBfVCj2ne1yahv2OcnoZq
Pkek/qbC2BhkofsxdMmg4OTU2xRV+RKIh1bTCKsjmTpEhBQEX2XiAMh+y77GgahCz1ZO7RrszEWa
ZNewQEN3KIbMNwsp9rTFed2ALdJQh+czTjRc5Hc6/M2lWMPmbh1IAVx40BX+vXlNVNmiP9ooVW64
uvKU5JOfaxwBHH2Lm/WkteVb6VhHueYcEjrSW6CYM2e3GgEr9LM0y+nbV8ta1h1jy3xU5YxeN+Em
KCSeplxV8E1O6UqPwgttJtm4WGDUepXYWyRM/X3JyOUQx3VzyhDZ/qJ3/L0S/1uJYNJhRcKMos3W
nU8lQjI3Ymxwm54DUBJasm/UX6VnLs3vPx8FfiWZNQpAdJrjnC1t5ZNdgjzOwoB9G54zE0qdeRH3
8TaurhvC6zGeejGwUydZ/eIB/MQQ+/FVl8/9ocDqq7SrdE2STvJU3BiqCp6DP7ArPoY6tQeUyMTr
bOOB7OjdQJoJI0NUTlkhFh1VXHpFMz+WknWMO/CsbR6tM0coL3akW34uJ3cmrn0/TKeDlelPZkCy
oZJpZs/dVJSrfraKlV1J4FyrgUlcMU27nmi4l7JghKHPOeFfcfyK/4EplAyqiBV48hfIjzf0zk2v
Z/OG9fCOBBp1RzDEZTR1b2get2xKt23TrM0lF0s1gF/KkbRKZCqUTBTFZpp72avRo/mNWMLF4/Fa
jQr03zHtOC2E2eFMB276r3UroGxVMXMrhjRCvx3n5EGX073RIYsgYjgkZQYkV9IxozWZDKZzclBB
DRZToPoaVjw2mJRVVn4YSIbgLJWfbICvRSNWBFdwB8urtAsJUNQqv0xy260I5fabLDhVzCZDw9oq
JekedjjeRCZ6rBE4Q9+hhtY0EN6z1W2kisaT0pdfzLA+NXJ+VVd4sImgQzKyhz0luYOhATi0WREV
5a6You0YIGQcmv5cmeyRSK93TaO/27WMVZquWm3om7DSj5b4vUP+t46gbwOen93jnCg+3m0CVz60
G+625FhchmdpXR/qe+akO6bDR5utx3tVhWvslROs0sPP73V16eD++OKWphGgouLaXB7AD7e6UkU2
vl5dOlW+4RZH1avWPQrEg/RgrRkb3F1I3vFhWDEVG77wn+xMJoq7j9fBWWNg8It38/3G99tzpzHA
MYhN4Bj1eRY1ySLXFSWJzoxvKi1DsfzQ/EP/5LcV5eNrfBItzE3eS1FE4FBZv4cNk+arn1/Rv/wM
FqMXrLAaecWfvs18NGeJ7hebt3RZ02BrDGrO31ao/z2+y9x+f39832TvRfHjwX35oT8O7qryb9yY
+gLoBqXxbWryH7eNSjQR3wmUC07hTFz+PLgzhcG/6fxnovKnMkdzUOYslCz+wzyREe0/Obgr5ucd
06CrwGSG32nbur78uu8eN1IRLXXsbedCzRuOn4YyV5vmGztBk9i5V0ZE6t4zHcrmSvtGWsgX6MIM
fcFMnGNTOClizvQlpa04IeUd1C5cT7pOH4nnZVw4E/OuGLV61Q/OFSaSr0tunwfrALGqupEguIZt
jJOg3siQXW0IryyeWynOXowGpLCVlMcwEVfpAoU1u4aDiLm1ZJJpMKPAPhYeYGECUSHKokA6q+iT
YxV0jligsz2H4UkZwLhKykuSA9IG87drbOuxglhLrfCKWvEE+SIzFjay+eRAZuwW0C0t/ncaC366
IHATBxgufv/6gjVxjQCg8NRB2daQc4cFoSsWmG6qSQ2oEAC7tGL4tAVBam05P+DnOZGHTsJzApy3
WTC9KoadSAeCDStr3SwoX6UJrVUC3deG8stEavBrHfAv6W1POSTgPknQ5JcXpFKiRsoDY50v2GAw
6TuxgISdmLpMQUvhy0IfwPwCHK4W9DDOlJy6zkEsMV3lRrprSR5x4RO8Tflgu/KCMCZhmVEK+gMt
nL7gswayqChfOxUgFPxj0U3HZAEiBwsaefgGSV5wyeUCTp4WhPIIS3mGqZxLhXjk+zx0xvOcEzxJ
9hQJCrB4kz3oxJv/Yu88liO32iT6KvMCUMBcuG0BZVmGLPreIMjuJrw3F8DTzwE1klruV/wxW+0U
krpZrEJdk1/mSUns1WtAsLQ+loM6Oio6l8d1ES/bM32VZUTPQZe69Cewoe6zlj2AhqZoGzsOBhSw
LO5JB+dwsNNy2EK0LPe8L5W6FioATIqY3PsALLHrZZM2MvAoCesM5iS2FSUxmZ/1sIy0qYyY0hUN
Z3/EmWenBGgEjFR9+VwF/l0OTY67f78cPvSAh/K/qnFb/twvKyIjZmJ0TG8tnQ41uLw/jJjVnyzk
PfyI+uI/WebIv0iZzk/C4Nitarrl8r/o7HK/SJlIo/wL5pg0ItFo8N+RhyzzD/vlz9wEi52SVZbF
+bPr4McDyGCS5Cvz/IJEDyMV7/vAnG9MC3/GVbUZWO1XSZCdBCWwGxNjD9rHNsbBG/XKvsgS35X6
XaHhazC0A5bBt7Rn0NUu3mSKZWftGHLRmiP4MSnRHi+yw9d2yu4G4ABr6iW5sFnMtRZ/dJD1lTcz
/bzJp4zCGxpkUS264rk0opueYMKR8t9bDI9kanArrmYoYIAJ34lZbIxAu43G8sLTD1vOTV6kNhB7
LKyLY9a9r/fck1NNxpfeKr8x5yUmMEaAS0nBeNRLa3tzoqChs/dGkD8Y0/h9EvOJudx7FrQPckLN
S7JwW1o9YIWZAOJgXczSPmRA2ZEDzUcuK/5cdl9kZG3aocH9pikMMF3nFrcalKXyksj0jP1qUyla
gNwoYy+xYQRrjfLs0nMAlg8uv5kco4YEylxx1HfTbl8sE/2c8Momgoq7URL3y0iQwBz6o+jJ2FX1
HSmGTZ6S6rS1i226m94Yr2wDpAwT8p6N9mZoEcxB5QXc+TOWhY3Vw3J1B2kiX+bv8dQ/VgphsHzu
0xUo1PM08NbVaX+HgkHlXWrlT7XYI6tCPiBbwRy9tgmGqc4mkAGHUBN289QP9xE1BPxzvImtNvO7
unjqeRlBDcI5jRUYw5KBeswtu3E0r1Snm3rgc6DV3kZcJihXTo7KRc+4xk55I2XwDYIDJD3LehCl
dVU4UnhKZx3dHOhFb9oRYGi24LiJrgrcOzPpxJG5M9eROnkAffHVUWOah/O7PEq/4VF7Cl12Sjxg
tNvwS+2qQCNAqQQkOMox9Gxd3xiiGwnzBPg843RToTHOQDMAWm9VMexSnXqGoh+ntd723x2TTihh
LZk3u3opy3ztatVSTci7vTSgemE5S+qstHaFUg8ycQli4MYjPAW48jRPzWM9p8Qhe8cTakLuMVZo
CUCW8/O+oGegKW/UcsyOWk7thdO+xJZ95HhzhejIiSJ2iXlq80zEk0aDImjkxp0KnkxD/1IV9b0z
8MGbJIEncz4D6fwWDAp184N5dSvn2suA1Cr0Qi0I9nYKEcvkoYfQ4WxGNCwPDKMg0ZoyxJaNXHoB
ByqQprcQP6hntoC7Mt7RFfWrSJ30HKTWmlJzNMssJ7tgqdt41vM1JlIlWWkRE7ghnN9ofH7rBuuB
ZONDmmnYKZ3bVNdJZIaz8KROBhaiyNPkgEzoMnsdzd0mmgbrgHxCT7xGiBCvHLFZhZ07yKeDaIHy
VxUgNOZCvq6I7/rYnjJVOY1UA65jB/y1Os1vjEh3U9WZXmkt8RKbjupJcpCYGvpi9VreE6Yrsbyg
lwZ66GIztXg9A2Kj7HkC+fcfekbKcaLNcJUSBEGyV641kYs255EQVh4fStt+rJr63GYwnfAbfq8q
9WITNGmT0YJxmImlklDfWBpJOHVujoGmbsdC8Gnzjt/UBb90WvA0Ybh5FXlWbkqFNTiMHWKEQ0M6
ZAp3AYEUqFXTW23F5dZlaRRpvKmNXvGiSJwomb20GS0XzK4AmMaUaSa5BAFT3tatuk0a8VDNrJWl
dq+FlHOVswPnsrTfQkCllRUddH45hqkqWoPaPyrWrHmovjWQdUrFGpOHOm2D18GaX5uuvpLQpFks
U3ZI+v06Z4Fbia6/ryhW85uUz9dQSt9ZDq2SEBSD9+Z90YwmVvkyci8sdNuwjvKVLtqHKZBPqd49
N7UDWz3tn0F7qztNR0CmbihCw0wGP6YIngxoRnYmrAE5asa+aZP7wjJoYulLKOPaq0wRvJnkwv/B
IEsUiHaaCqBcoz8N1p1sD3PwIuMbERl3RB7xVFtPsLQfYyPnoym6rVWUZ70qKRLNtJZjt/VdY6HH
ZezeDjH+o1oowU4xJ85VwD7XmR3T6SsEgXx5bKvsOuDvtseM5Res6Txp98RCb6Jyoto77J8ZkkA7
r7tD3Z0Hi7m+2TOPscNbMRmxn5VuvNXrhoRkEz9D7NtmGUIycEucWkpzcidb2QxTT866G+HcI9yh
A+FhIWQPFyY8mK4DKuOzvlL7rLKcekOnr6b8Tlg+OsmiQ5kMWbHt52RpwWy6mCN2V89M4T9bMgm/
gJrnKBk6NPDFhApZvw5BN7sXzWjoP5wVyiHaTuyZXJ2zzzrOXkzTdl4a4qKKqwCbRwLeNtzk1Mjp
yDisRgcLjRuVgxsBWFdfwXD9FNsVK8TSR0cqeBdRUCdEuwDE1e/GRNvEBCV/gg2PE4dcruLnlNzp
QHaNjtfYGlrpp2P2Fcm5ABwbbXU10VHCAeYUofUSjflAHTRCs6yjda215UrX5401ICBjCIRL6mfV
O1Q3TQRXxiM7RZH6OW7si1GNAaSWHJd6pj7y9rOLU+xXjckBFpq9qeoRN461TeiS9ymbKjbFqKbe
1BARiGn9xV4uXwoqRAB+3JuAC6zMfMzd+naiRxs+bLonVbZp4ux2WAoI23IkRVA92KX4yuJ627my
IHzAI4C0etWUhllcpW2laNiytfb8qS7TebIrrI65Hi2INiNhJjxRT0deOq2bkZ4E1v0F0EgGtrHa
dT4ytCXMjLG61N/mljBmhgPfjhMWZ5oYOeS+NDQzjnZme2WurPEJe6Z0XtlaIO3q16Yebvjm7uxl
4lfT9ljNLW7oODtJja2WPsg46KgBKJ/NSnuRS2GkWdjPrT6SfSBQBgSI6BjgLChD4RPt23BRlWw/
g+sTzWkMw00l9dTvqaaMzIo9WrEe+2o4zXj8CQO+ZzRZ1mQY+NinI6PAfjctdZfFaJ1yjdm3lbMQ
0ohJENDyEQqB2OlMveebvqE8M1xqNK3Zek5knt8agTr7YecojOca3R+WAk50WyoiwEbBYChwRrYQ
IZy52bVLdWejJu82bj7PodXTrlpj6zYA8UK3bY95TZsnDqmbLFn6ZujHSqEIbN1cYhXXg44vl5k5
s3jAjXOwYjvfWlG5dzltVaT9jITg3ICdZfXvdQwagUmw6j9dx+67tyJus7e+/bNEtfzJXy5kNMou
GDz8JTrXnt+D8rSf8AFzG3NMw/wUm364kJEPwzzC/IhCuk/h6LcLGWkzXMQkzuBoECH7byQq4xP4
8psivHh+GTvyEpi2CAeoHS/9R0VYcRQjbcasvPSQlecTMGg8IHTcJvq66/Ls1o7rAfhpZp5NosL9
AmMH0rBu9Pxh0HC55lp+rPXmNZvKQ9YWV8JgmC10ju1JcOLUeiKnDOPcprHLIKlPkv0YqfJ5Torv
n8pKOehkqlOrhNkxb7RcUNMKl6wPIvLBoqcVsktOHZER3BXMKoyh0N6BpFH3xKqzkSHrGlgFkvYc
J6wOorKm8B0DYMqDnn8+9MHnF8Aaqr29fCdq2z1Yn18T4/MrE3x+fdzPxsVmKV9MlhrG/rORcfi5
nZGeRvuzsTH7bG/EZKH4bus0yS4taHJZ102o1mtuJowOMzm+91YOsjornm3CCV4Xya0zuM22ii0y
FyWtMJJlPXEyuTH68oS/rfZ0djncpfG6npnWRi44tQDIhho8Kc28x2R9HezcKzDtChLTg0LFljSB
SbGrO5W1dL9eiWe9VUrJbNNWKEPrTyTQaJ9QKrwdHJYbV7sOXKK5mq+LoD47YfWhYzrMFbnT4u4g
rXwXBjUX6OKc6+O5L5t3dWqvbkRsOrEeU3eAmmLvAi28WNEAxiyr7rMKB1yxbG/qVprttekc3xgl
LBTxnNvWSnWRIp32gJu495zc0IGEfRR4MUVGJ6/s17J0tqKacTe3pyBub7mFvpLx9e3e8bm7rgs2
/rnMLzhpWc7nc9GKXTvqz7MsT+TSV7QAnlnyvCrhRhJF5yQoz6BnbmZKv/quOyQmUWFL/cIEbOPE
3akyuvewdJL1slqGtvsgGlyQubZ1rPGI9b1b9a567oFjsIOeG0u/qyeKaWbl0YyMfZYsnzBnP6wH
+xZYvMOsyA3q765AjyuyZzuJHvGcX7tI2QSVeSQIsAGmc1aTIWMGT5WxGN8HXgSZfM2nZo/y2PnA
Xc1rsP+GtrZR4vGGHvJ92RIidKbme2PrHPPGazMx1Q7CwbyzzQaAiYzOEJxPk6nTTZypyZ5+LCgt
sV4abH2wMNAc6gt5vaPUeKR6V+yzoVWYncvKr1r32xSOZ3WECJMbR3Aad2PdWf5YxUs1q+0bdf0F
XzGPn2HhIwi2yLvTRjGCL3PDTgwAfuPk/UMqg7WhGMgdosOLy91npaVAbY1cLB73ZlxwCeCFIu0U
CHEVDXR18CFM9kc+cVC+t0mlbFvANBVJ6F0VpTQntXayqUft1CX9Ng2okocbjDOpX/N08GkthSxu
397WQTR5hWhvdIM9N5palI/4IoL0aNTKVjPkOrfqc6UzIZd1/rUSOR/GrPjQ16WfBEB44866Y8vc
l1iKfcJgBs0roCODeaTLIOmRDXTuZxEiTxJXxzzOyDZ0ipfr5Utnw/qnEYCbaj6fe804EQH8ZhnQ
+BVH3wVVgawFXQp643CFXfLUudZBMWnNUfpsk01FRR+wPJmuNkHdZAXIlQyCZAUFV68DNPa4qjdJ
Px3LWsP2ZsQXrAWPg9WD6InGh9Ci1YGwJddTzDNOeqHxQqPBmDiSgUHBHfLCc+PIXQlTkce5NLKb
iNiu9+/e/7n3L9TDv5did31Ok+S37s87//Lnft35jZ9I5KgLtv1nVfUHKVaAemfL55RhLBR2nBT/
J8WSDV8K1fACGYTm8Jv+JsXSOKui0Aoy2JbKvo3h9P/hKhWIFAtQUROouhhb/zAJ7nraAO3SlLe9
eggTQNXXst3+8Kb8han05+z5b4cLfgsSTTajNirNMMry+/7+cMGFwkiStK1uDUlCu+VhbMlkRoZe
YFRQOegvCeIxvZvL2HLOURTZLwxr9PTOoc7Fi9R81A+6VeE9Kvd1NHLwz9Z8FdZzzLemnw1vmrLb
gN04K5X91LrUHJb3ncqlc4q09Vzb1zFud8FU5zCyx00Rd5pvivqgVPJCc8d7NqVvCkWkfVXtKWR8
IdQC9ySOLiGLmaNneztqa1TK5qPp7W2VxRJPp7C3cS16vvfcETpT7uoBGAf2p0fqsmqj9fj1XkJL
3asYR1Ysxod6LL5nrYuXdWSTn/LvQUVVnJNX1L+pI26DttmAJMfyZEvfKRpc8NxQyB+o72NbHAyh
5L4mCg5c4SHQ9cdmZNCix91zmk8tC5/82lriMImm2NRJdSqiUfpubRu+GQemF5TNfROjn9mCgjRs
oqc8JJ/VtcZdJsGy4818URJjM0t7XDNKpbZU7z4SuwZTxW6ysuvytijFjS0bgfW/jtHK62RnqTBe
K6xa3pj0yF+VjiDHSsSdf37WchCzfJyrsleupkRtyvXsQeYulzInfVVqJCZdVnuXS/M56yRLl5Ie
WgWtTNVqwUUxPIbdV4ORgMuKF+dS98RYg7LhVBXMlPwGNf0oZagdGqdv/G6wt7Ntfq1iEh9yam56
W3x18OL4ThJ/ODnXwlA4s1937gPBrg8RS0+t4+9xjT6rtcku0vFhaqPjlWF+y5H0XUsSDMICfh4w
gX0Wp2yU9HTEzpIKM8gIi7aTa6GoLrfP/pY0wyNGWxpRsw7SedQskL/7cOxqv7TD3isCMisCN97A
MHJeBmWuk9zrMNjJgSDfuMNzqoI2iSfrI0F2NzWMdxEq5cYYaQBSOA6fijxrvJCdyGNdeQyn+r4Q
ZkVRnHEJMxvHa4lBWhvHL0OS8fTImhp6yfth2/MrvTUk3BmlDhy8BV3Mm6FRH9MwA+hCQfqoOOz7
YQfoS/noFOeVQl2CDGnk2YYGvnEMSNhQJmuVXAuMKd1X+HuzNUJBHSDIwfYDslA/mKGcV4x4ecrd
LH1MVcPdm/OY3FqGfKhrnXFg9T0n1RenFdbwsvqmdTX8Po4f5ELAjqWSmocmxmAkOj+zggx96alw
1+N2Qu8/5iVgH0W5Nn3iLkPfrKYyNaczYZDOjWKP3J/h03ptZpqQjKkLNSpy58YJ6TZnLK4wEkdq
47tJP0p1bkv7JXLM77E61iuWtZoYm7bJ2YaHiIGII94WMzauwkNu9q9hz9WENefaFNo6qbRriSAo
MYXSLetbSvjE/eO1pQqo1NQbVyKy2c7thA42t92GYYdHG9o3qDYZ8J7ET9suXVOZ6qU1NY5tw4EI
HFpTDWcb5n5TM3UyyPSBk5TgNIkdJmgIgaJcpq55ytFe1oHefm/puNPr8Vlpv5s9T+Jg2UwV6Gr2
AiD/hOwCiZ+AU4SirNVhsp9svM3bum50LwmR0Eyn6qpzahgveSmUexzqWE+LUEVvXw6RaSkq/PiM
oLbdVDaeg/5IejF/Sut203TyRcrsqa2VV9J7xp3am/MtG169abL6rda1fdQY38bAuSyKn5u54dLW
i0bBfMnnVulwxMriTT7nnMJzZzqFeXQfh+E7WEbFk2mf3TQQdZj7Y0QNCoB8NAG9Fjqfoowe4rhk
GGgoh35oX3qtnOGxoaoGC+ag4vXRAsze47kpa0CvZJbf9tV8UZBiHqwEtt00uXIdNhTs8S1vnwO3
7eGT2cxfCq4eddYxbYHmPmidRKanG93Iy2krCzVi8E4PSdiBNoRVZu5k5mo7bAW3ZtpdW4Foa2nb
ZFi8AkpAuyODhtnSHnA9vDTaeB+ajbUHQfKChluuRDgHP/fy/K3DbLFh/mHThfxAlZ6F7cQ2F7/M
jzd6i7kmcJe6vy0dCbfrkjgPFq8ajX2V/FM0/k/j3MV0g+1JWzQJKLWLAeaHcW6LoNgtx+lbJ1gH
6VM9bSLlH9Lt//Qjlv/+w4+gZibLZJ/J24ovJjWjq2j4Iqr7/3xU+csfwohbtTlbafpy6vrxh7RR
mo5JIeWt0TzU5XFUKD/c/+cf8eePhbfqhx+xEBN++D06JsqhJkZ5K5z7vN7MOeU38lLYb8n0Dz9p
kWx+/wD8/ictr+SHn8RIyMytjl+mZg6gFVwY9EOfQ5haD/lhzuefBcC/fd6WF/7HHwfgyBREYwya
i/6gIHVhMs5Np0nMKC8aE02bmVt0M+Uvn+/fv7YPkzf07+8ar/3725/vGcuf+fWeoXEv+OQ/2ctX
cfF8/mqC03BvcAWBDAFcFanx13sGTjfLcLGnYef6RZf8RWEk8qY5gCT4T2iCuDT+m3sG15bfPR8o
jDYobLxxFFDi69aWBunfPY5d06ljOaqXLoF95xbmlhZA5Ybe+uUwqFV3JgH5XQ9oBzZhgBO/jDVO
p+KwLM6UJ7A5x8KlPbiZ+5VwqIVqpbUdyOlnzlidmllBY1AFZoGvUHJgZObw5EhO+bMl927gbJj9
qH4VU263FCIAs+MsIMWjLJqdoKvugVhT74VV9dXiFFH21WOjicpDFompxau/ZhOowrIlHlpLuYO7
OALWLKPiDi8aSQghbhXDugksSW+QhKOTSyXwFQ3yVZYxiAm6N7sPvwY5DEN9KlRO4FW9dwoOMHWp
XLvMyW7drtFgg3Jdz4xmCddzmgtixsIh/inG7RNuE7xtjWt8a2OLsQXyXUemBbnkJdaNh650AUUl
+neIWSPdGOFjM3Akr9t9bykRlCxtF9TuNxXSM1maaJe6412hJqfW0hm7hDfJ7D4QGrNX5kzGttHV
h8pmwDXzIXSAVL0MAx8NWubbREjBa+32xSFetLjCNazSJGKFervY3PyI9HjsLhzCXDryME1guZA6
PtSlvMlapLr4ZpjKcG8k7bW3MMyOJhYNbLpgma1slYAHJ5OR+fZMxK9WFFIfhatj13O7rE13Ttnk
a4ocnYurV9M2K4ibMQHcawUGtrCFwVUPDGRnO7xT+hTTTmx+dXXYSfWkf2SlOQE8tSjZjBLdPTP4
Cr2igAoYpGbodybWhyKDRhDSzBzhkvHUzLlIpYRaDtVjFU7lR54i+7Raeegb/QwckSgk4tOqiwXu
hr6EUmYq22TkgjJo/Rerip7SNO29Butcvfjr56Utug15czP8TpAp5yc7njBGlO85Ax10JHEQhXKn
OdUHNqV1j1O+r7mXFFRle2rXGHuLiEtl5YexM9ciNABqphdh0MLAEQvFtUyeVRk8mqQZdzj+Sm5W
9mPTQRxoNf0YVDohRwdLTl3DvO1V9ZpP3UGFh1GnyTXmIA5J/VWqzbvpcurRUq31p3Y4Ow30ysaS
OEfU4mSShVyZQjkMmSG2lkoEH7hk6hfhEm3RvgK2ha/eTc+VQUhk0KpN1S5Gpg7G4jQO+xTWLYKp
epaZfI94r7nWA30rLEACpV69GEV1cgn3Ww7x8MjAmaUHXztVbuyGu7ySkUcC5VV6adITPExrb+K+
4RWT+W2puJS1jqfRSY51wEk3xkLr4fzYJlH7xUnqmzwvHrV0ftKU9o7Xl61mYa5c6Z6akdgXL9gP
54EbtJaenJqQWD+r19Y1vkydW11CsXSkjcp4wGCi7JlrNz5Vacchre9Fr3yPqvTqWIWJcZdD7UoY
YJ8Dm7+FoJ+5y5n1NQEWscRgJJnn+l2iMiB1DGF5zI3nlVLaqQcmEmuSg/uVGfCFSk1ui7LM/CDi
XjeGzA50UhWBqX7F/Jr8q+n93H21dDH8/T57XxZl/hc77fKnft1p9Z845i6ebtoaYKZwsv51p4UR
uVgoraUMCgYBB8jfzJWcxeH3CFsT1Oosf+FvOy2jKVCKArsmMfL/zm4O+PF3Oy1yG1IbTnjdQTmk
uln/g9yG7k5rIOTii24ATYVvjSxusBV+bUANDIIVVV0KQqlR4lKouU9BR41a0FAjapr2O9O+ezuX
7oq0os/shCeM7tFeUfctXaTpUkraLPWkXN0IzqKFpIb2Bc0o3LZcAW7yut7D4vboOLxQO7DPKT5t
iWNrSxNqv3SiDtOMmtTSKU8L4iwV36Y+tZNW6ZUUqqZLsyoK21U3uld36Vw10+JuSrGplSR+lIjJ
QTAQSqmpag0DyiSTl4wOVxkuFxszubYNdvIGjUjLzZtcpc8gmck5LVWwaiUWWIlAXBI3M22xQ9Hf
OG3wrXKJy9HEQgNGeofAhExUBCe5VM6GuvIq6aBtlzLaBvT+SgIQnNvmCQ/8t5BJz0pWRg1IMHsc
6bTFLMYvQsttmjqnaam91fgdAnpwQdK9tXyLN0OAcVJOUHsjndrcAh9hsBTpNk7+ONGs2/byCyd3
UuB07o5Ove0+S3hZr6jIBGcC2KYOzEuqU9i7ZLZ7SYXvNLtPiYURc1n4cHSrS9lvS+tvAdGbNRa4
Mn3AsqUYGP/kSxyZkKeX0uDa5cK21Ainafdi0issLcqfuqVpmMZhmKfhMUpD+mNE5Be0EjOA6TyN
nuI2YN9uaS7WaTAm+7+YXDqXAWJPbpeeYzaB+zCYtkTGx3Ve5oep1LUV/qzvo6huZgueU9I98+92
RQkOSQx0yZd63K6ipLuFQJwdCUw/WEfKQVj47Ny3+D75kRFEjAXbj1yj1tFuttZQR7QTNOGG/xHe
Tr2uyj5fqekwAJNp78kmbBMzfRWTtnXDHrHSMW8++wC6shR+UeR3fRLRONmmG9HNmQfReD1FjEoZ
vTteOjcnVCyi3Tk9pfpkbPWwvElNQbxvqUdwmzuRykMSgQaJmuncuLz3IrjpZjoqkNPs6SvkzuY5
KjrDj0KXzcAqC/uqV2j/BKTxQd+plVtf2ynMs60G+qMz1E0KGIry7uAjDcfvgQkmNSoz0gi1fbCL
8am1mvcu5VRUleWdHbpbJUrvcILuHULznmG5fjXa8OZt/GuZCiLU7M4a3AB+uWpd20yGjTHZld0o
1hgloeNk9uwlwEE9MnR+hz/IsKa30dJ9dr4vDq2cqjs98kEToE7Q2GPlWNTRljHdvmAqZy1920nm
Y2zdEXUlCl/QCgD1B0MzVSLds1Y3TI2nkFP5uBlyQvJGnDBurFNaJLAUjfZWcmrJq5wP5Klrku00
9hhQJXT0nmJwwKHM2P2J8H0Uuy8544RV20THoQLqOtcxDQG51a/mtNi5tXo2OvdrKwVfAuobRoDu
qQA2W00n0Sd72SwhNl1tiCdKPtulJYJeu7b52jfDJRkdv03EgxqHCGdTQ+6CAbYwi7VI0WJV+FXM
JN2Nlqr3Zh98r7Ed42vO950bOpyJhx2UqNFTanMnMI5j/BluIhxaSWwuc+LBi0R/knZxQ6UBcnia
eSJ0XjOjB7dDKH8Ji0zq1rX729ganlW92gdixEOm2mtyyax/Y6HgqyqvBqW7Xjw3F6Ey5wiTXcYC
WMXDObBmxItyVevdUuFyYL6ysmpzUZcnf55xg1oNw1ptX5aEmVuIq6zCBnDx7kYtKCwFnEbFi0Kv
nroY0TG46f0XI8agK3XT2GsYB5eu1yoM77TZOboOKKt5VmLwbJLTPdTOUkJHrMJkDQLfhURg9lvq
p26NTNmk2XSru86HgTGuyIFdWN26pZR1g92WfLnSoWxWt53tPI5xD5HVxDkx5ibSb6JnL6kRTH5Y
DR9J299Eo/qU9QXMzPIYue2wQjGmqkT39bj5MEMOzb1WnYn3Mw2ZH1NNB6g6pE+swOuWxphGCYCh
qe4rLbPPY824PY8o7+1zm7S343VadKPDW4tG8xLK8EZ0THwDMe25QdGLrgX1JHZW26ZPQ6bI1NeU
gqn93EnPGZ11psZ73Vwa52U++2MZfYOVBINxoKa4xR3vzvNFa0j1clwI4UBpm7GB9xMY9YfdDann
dukJmyTL5TQWKPrxc5not2WuX0VaUHBcitUYtV+Jfvid6h5sZbq01rifddavxtbwZpvF4zgpT9hu
HrKYKZIsDJ/JFVj+SV6GlCStmJ37uQAbnFFsfNd0kBbMzE52olChpwUDPOVcM4boH+Ke+u+FokUI
sDTGgfiZkBdUfTkj/SgEtDXDyAm29EW7z1cv5ma4hRm1yj337eHanspDvC69bhcfza30ox2EgAPj
8uQUbT/Pdf8KSeI/Dq0pd+3e/mf11ry/NX91zv1hck2IiI8H5JHgPIkkyjny13MuISKayIBRcqYl
eMkR9JdzrvkTKrAJ78hynf+jKP1yzmUSbukW+5rB8Frnr/1vFKU/hSpdkxOo7ggOuGQ4jT+cco1I
U2Q35eIc5V/m9jyOrz+c+/9qbL0M7X9QNHlQ8dXBgiIJRQ6Uo+9yzv5BQO2DVnSBOfbnfjbXul59
TJU4Z0FyNZvuA6kGpGUT+7kAjsm3f68Tt2/qZN3b1B7gJi23JVUGhd3slFZ9SPpoI9rqmwIJCRTK
sTcxxTD9kas5yi7aAN36aAxdzRAvb0uJaQQwBG+iZ+LmoKgSM3e7kqq553sffEhTPRlGHln+xDLh
C3hr36AMERSgcWYtWt2hjTZUXpKMmbGbiq8ICPmmY+32RBrVS+H4JwnyYle2ss6c5sVtQmOt6Qvv
Tgh5m4yStKJedhuN4T2hhQJie/yF+/MRNILvuvl0xHVX77Ki3BVFN/vcZx8CM9ty8CfYHxpw4oov
iirBJooRwUS5dCNHhTaf501PAiGsuns74RavVnsDAniqKrui6g8dQ3HP7Ke7MYXnMhMzDOcGnHx6
4NzyFmiDBOOXAGBS/D6N37o2wNBsC7ZoZ5eFyUWZ+eM0bIKmeW3T8ECpxS6vzaMoagq69eGUGbNv
sfQ2Vb2zpprhtODoHM/djojlbRNQ0NnO0Q0A+NeKPZRhQ3IQiniAMpQu3etYa2ZxT/E8mko7Ruve
ifcTI8iVmTBvDBJry0i5XZULjF24azQUj89iKaruhk0UFgd0cs8Vw7MoDVqezLPVMjHs5ksai2uU
E1rog3xri+EUyWZfTnIfjslzREnIKnflDo7SMdKze0uD1twl2TM1JU9aYMOl6DdlQ007aQtlbL7Q
jYbdr+NsaLSvJb+8PuXjVpnmbyk5l4koUxOYvpGOR8B5zqqvQ468U8FfCq9lJexgFVr2F74FmyRO
XsOAlpux7ZKN0vc8NvXHVCY7Z2nAM6ovfaO+Kop639qMT9Mg8YfR9VQze5/T4C7NgU9GU3hMkyal
JI2KDqHYD9GMGEZVkhfGIfmEPH93NSoEFFK1GKFt8+Qsroc4tvDuV3R+mNZ94oqXvmqhueiE17jl
8u1J5L2qJTfIyM6KWA2X2HpsVopmXkeHyFA/MUAE0YhiYhnt2s0qkjIiDrjHWOew0611TBpDtYBC
uHXgvDduR38NG1i5GioLwkneDCCP8kkJiG7HQ3wem9g61rgJOe4ioFHIx41YSVPCemXkgw1s8AYq
/8vemSzHjWTb9leuvTlk6B0Y3AmA6BnBvp3AKCaFvu/x9XeBWVRJTCVlaW+aNaoyVijICLj78XP2
XltetTPi97z1gdrTLyC8o5MPpWksBCJqqqo+tO14Xupls8PehdZBQyaiqFWzZbYSr4KoOzOVgC53
UkLamY2NP872ah6XO5SelquirQoVHmR6LlKZrhdpiZdzz1/s++WLMU93ta89i6Tasr8d41DhgFXw
C06pdOYnqoxrSjHgKBqj26ZFdl0YncRSJaHvvkvyq6HHQYMmGdAOwhSVqiLWPfr7nUez8yAqwYao
8EuL4TLvEH+U3JfYo/YBQoAUJzreHbec27M0ljahER7lVL5P8HNp6IwGGzBiPiZPeuzTjoxad7C4
yCvMB+AwRuJrOUgqJWW1RCZWQ3aTKNmwZpAL0B0XmjbDAwmtOUH/E9XH2UpOmlrSzG4uFapxN2X0
S/hB7syD4bHl7VTF71aBRnRyOvW3plTeZCpJSpnTpRRjUMSmgYwx9pxuP8hmASh+iUuMJJgnoexN
HdBh3g7VMXaGcyR0yO+nhEK/j8N+k+vZtGHrD+/9indQu/QmZ2TgAUS3991Ux4heg1POSMRNhWbt
ugT4nF6IG6Mq6B3oMTLlTEVbMem+vzaS6sb0pxsrN+aFuE/4Q0fHwOgCxRHDuG7xqW1KmcgdgHSF
m/JCp+6N7gFvBy46a4qILIuGkFMpbEnjQX2YDOVas7Kay1PxuMifc8ySo6A8brDWTGKfVNOtHMar
Hpc4PZbwtkvVG4v8OFqq9GgLKa69wk+xKHQxjjhZfuR+SYzfqFcPnUmiZVkwTExCHnR8SSUiFe1B
XTibvmqMa6uTbKQH8u+CSD6MaheiB2MuSg0beyl2ZppwPx7OapbBWwji/NSS12CMcFPM4XKom/Xn
VcDbyPeHseZ/3odmn7HgUv5aBLRizpIgRAwNToxByS270oWVZU9slzUaI5svYEq3/ViuUyvZNmpI
uKFKozo/sFOdEXAN2yC5DP3uyqzklRZ2Lhc3/EL+a9GZAJ5YAlTiJ1MOKNe+Ny5/UcD88hOC70+/
UTcY/32gThhZV0StneSnAVZiMN3IMQ2n4uzzN7E/TJmRDdJqJAhmaXYi7xMfvoemS1CyJV1/KgOc
05Kp73D60WHz0YbEfQ/0QeofpDItLnP4b5Mt75gIkVQ+lWxUGumYcYZYYO4uCZ+3r9F5u11BYpOM
qE5nIOgaKtmqRhGcIinajz6NokFl3ZgZvOoJKfiVoaTPCVmKShpEm3nA0d0oUBuRasET0l6kWl2D
h2QKp1Um/QgbF3ClMQRg3sNRtFi9TLBv6mukEzwhFrenDMdLpMdpFpDCxCRtZWWIj3IIrnoeO1qC
CoSx0IbyrETBnd8p2U01MDmyleDMyEpj3ZhluzUVwEYFR5xCm26KIfmWsnoOXguS3oxmjnbMmS8/
d/oaW/GOffHRktDqiEHZTrFOR6AOV3mZQwXDxa5Buph1So+RZeahJCOxXMq2dQteLFPGfSf3z0mk
hi9EwWxkMgZB14ZHdNjoh5pqDbYMFJo6XmWmmUJtVBxwY+OhEs1vgs6VXz4PLEjwYFhKFEilP69L
H/sllEHaTUJRnzW7yTySONKTKaHFYT99ChqytXPCVhRz9KwImDM76pFPBcVYCJdPDZojdj1nmNWj
UVgPmp6H6yYzqnUHhXJHsDU0ZWR4tEJ7ulKFnm1VDnWPgFUSgWqJeoSNSM6K3I2M6jrIsJUpIVa8
eSB1oi2XIDCSRLP5pS7MZ3sJye6VQrh1pt6a6kTtTJdKQyBqFg058YYEU3QwH2LL3A2++ocpyAQv
B7YBOyXbcrzxbfpYfe1WhXYN1ZsnhHzQSb02esDWcXhdRcZVJuyNObUPFgFtDnWjvDKrjlqw6lf0
envXMhqyGKBEyj4ZmdDAnyWeCbe0tUdFkx6UsK+QLBJxEgqZrBhc7dJYoCysNzKCf5vAPRW+IqeR
pyewsCxrOAgoK9AIyLtHLtOl7Y02lCfbGndNMT1rg/xSafVzLswVIPJjAt0x6ZPzAm2tyM31QF80
xKnnRrlwVTu6TEop2U3WDFB6Wpmp72UlBQ25RdxLWIy9ZF8CgPxGt97HySm7tNnWbYvYzWxCTyXh
EjnAmYmLLcJPQIRmkDGynHG/UaEmHZgSheRgZQCw2jqBRFhSqBPbW6zVRDpknOLhgGBeSR/7slnj
3cztHeZXZVEkpv6wJvtqldc0kzqpivHxMnllgj/TIhQ2StJBIW2mkdl0Z/osMXYNbIYXpO9tgxxo
5VCd5ZZB1dum0nlaDuV2SsVeD2Cdq0wr8OHy3TDhdgcZfWg5HKWGW0JKVLaWrQrMNa4/XJjGSkBG
HawT/U2TeF5964v+vpQl9L3y0TSQfI6+fgbBEkma7/uHToX+3xiKAn4HlOLQz15J3bAtppZJqym2
dU8VImjROoKGNNnIym+Otl/t3D+sVG25/v5wvVVDe4rtMulOhAhAnTkS6uqOfUYK13lSHxVuLJ8f
FQy4frhOw/nipPjx/T5cp1USHLhdsDMUxasi/uhH/CxnefAw6NvP32hBLv/lnXDa6aDNLMGg7kOH
aWjavorlfjzNCrkKiIGbJX/zxmiCYhcWEs/c2B/KMpIJyJIVprtAWc0YxNEcE++HJ5NvRpG+4ZK7
HHMNJr3W3UlRcV7I4jqlfOPWgzJFXRIAR2YiuI7b6ClHVSeFaXkVdGQaGmHYbtCLHgymURQWq0mR
B5cSb8McQNzbqn1dzqlHJ2Xfae0u0tQDmRk7o7TPhyQ41BzbQkoOiZqzmLCNhpY7lsp9VtarKPV3
QwkNNUUzjlrheZYnw02H4LEa7fpeDZY5RaMFv/lUf+63/Pn1/fihftDvJKYOz9a3xpM1PoXz18na
f/6t/e7f/3BwyBKuOhM+4imyrsuYzAPt9vM3+Es9xPP3wx9gfnj+MjNL5EQNppOhXkSwmPiYZJxD
n7/Jz83N908JkRUlKeQd88OjN4pmgFDAX0Hugdq+tENGTXIbjeI334b68zO+NKfweYPJ5Ki1KU2V
D280xVEOwaJUT5QxLxxq3k26Rm+06p3IvXdy535nuv3Z16vIDe/G1XO6mr6yopvt75Kk3qbJPxXI
Py/rt1/0h23E7iO7tAO2kXbdezC+V+N1t8kuw7W9ghNVr5UNn/MaZ5uDoXHFYKpf6af85fOP/c1C
8vG3+OHL/cgtZ06RWmrN5/4w7tQVeNq1fSGcc7LoQm9zb7hnppdt7FO4HrfAPbc3ZDdvxi37njNv
CttpPFpnnu1JZ9023zTnIVhgcpruCqc7MVvdGDt7Bx5mW99m6+vPf/UFQffpbvWhgpbUJkpBE/Nc
OiSLrJtXVDI3ile5gKm90ItW0Kr3xebi5WzV7YhAHt14Hzv2nugOl8NnBUrtD9+9+/y3Un9ufr4/
yN/3UPPD6YCuuq+FyW8V7mwndOctBPUbMhkSl9GS6fgOii4n3Vinaqs+0Uhbff7+v16s/11HH3Yb
thppasppPMlzsRLDcJilhOhz/DKfv8+yq/z1ufnv+3zYdTBuan0/p9OJmtrphxd53A7m10mDssr4
tlx//m6//qq/v9vHjrKUsfkbVdydQpFw87sqg8v/vzf4cOfTRis1TXRDp8Q4qDF9QFt4n7/Db74Y
8aHtLmWllYuJhVbgnEApV6oPM1E8n7/J7z6nD5tbo6SQVwjvA1PHt8JMyx7/o2/6W7ny7/6ODw9Y
V8xNlzfZdBr6EezFKUtGd84uPv87fvN0iaUk+mFvNP1AmmjOcRqM4MZsMj7S9lzTOldg2IqBf/TB
fzgM/+zvwi4qlMU7yPjw57e0SLZAr9N2J53k9RhxTkiT78/R2d++xy+/nh/e48OiScFQSFWojycj
1unfX2bZb7oKv3uDD1vinGQjnq+qP8ls2jSjE7Cwn38zb+fjZwv/w3McRgx9/JTnmLuBU7nBHtTW
kSuCu8dDvArOu99ybhey3qd7zfJX//A0KPT/0M2EnFEPNIZzdlW0qg6ol2flbN71zsUMBYSj21hl
LnPaS8m5alfLqX7xWF1oe27toROvptbZkvm0+R2G95cHuQkB4r10+fjkRPUgKz6LTjlfDnLJaTap
vssV10k2unefO3vUiIdv8lcuZ/XtdMBh95vdS122p8++lA/fO3IdM6xIDT61Xu/NHr4FFYrSIfWu
7JN5pm0671Fd+05Ox3YNSGGDd+g3O/TvfgXx4dzD6iXp+VC2J+lQOCN8Oif+w1gTSHHoXsdtucrO
xAbr0bfgUXPHTXIeePHr54/m28Xrk0/ho5smgTmhNzmPZr1Gu+DAZ1uqul3i3vS7cbeLlqLlREjZ
PSx/L1uXG3FBEpXXrUhXccKn36GqtaUw/svv89/l/hHQbEk2s6GcLaVaIfLdmKk3ruf1fBYdFOcl
2PnrxLV25Zam3tnoitsVbDu+onaTrK8jYicJQVq9fUL/ju4XbvT3Fq/3zKD+NW+jdjo9Z6//+/+u
n19q/kve/iJfcnnld30qTpClHws0RhgaetIf5vaQkgmQNN5/wqve5/bWF7KNuNKqSEHJhFwiVN/n
9tYXWQGgLEilQPL2D50g6AN+ep4WAYjgWs5vB1xHx2T14fjANZs3czEO52NqLb2iiAFFzwBiMZBm
YmzXjZQ0JAYbev8IS+5QNiP9M5nEL1zHkQuki3I9t5SrIDBX0tK7ySYaVaYcSQe5nZ8NX51pcrav
KBmblYhpb5Spfw2wzjyS6BA6U487sRz76oSRZhUH4R1wFga1ORRJ29pnhEDCA/mWjNPdEGZ7oSfn
VVp7dDS3wBSovWPALlEGqD5OlcCZJ6JVRhn2R2DTHgYA/RoLjCWm9JT00itqzMoTPnaTcQB3iP74
Dyb6CNpkiSznvvOUGjnVkAzIO21qz1DnJoKDhnlR3zp9R7O5m4q7MCsuVRNdfkHnWkw4z6uOUWVQ
b7qA5OadWWpXVWMeIUi/zjSSp/zCVMrB0+qE8ZO5xn97n1Wa4yOhD3PjpjcIdJPjb1OgLxAx9dKq
gYVYqNwxJze3hdSqztS1S/cwTNdjm2LEsJE61OZ0nQUtozXcM1v0pITiYaFYyXknnLnQZzeLSNRs
/NheQc5ssFMG2yRkFppJ7OCdhH6ChG5vVMEGxRNuWiUiBNwoJO2I4TWi50VLNMERtJ+lGhzByCRA
KuRNNzY7QyYMu9baaE2L0dh2mGmTuzxYIuvUJb0ufguyS99C7dJ+dkfNRC01RsOKRIlveO+3I1F4
Ybskr2dNK46t3zb2U23M0R/gD8mttxW0u7QHmMU1uCaFTP+4mW2cQbh21iU40WM2q9GtNVh3kOxG
PEZoFyIo3AYBIOeDHquMqzsyFSfrxs6HnZYZm5KIpE2KNGML9/lW6nw4hfKg0RJEmtwPeXCFS6BC
FK3m501ue5XMZ6lBtR7DqSDlIKIZrIvCjat0vMgnFGxWN5RY2PuvDcHLB5GoPfGC4WuphJSx+iTD
ZVNOklX4rSOD9s8kg0aj3XbbmiyprVqb6XVlVul5X4j8JlGn1isJ6XR7vbwpLOTYrUk3rJtpx2Jt
Hc08QZQgwYeAVOS0xXQ+tLbvShoaliwp7JURqcOhNRUCMCMCt9pJfh790q3C4Q4HOU51fLugysrY
C3R7ctRRl3aSZA9PSTwMTj5XvhdZbb4ZyyJ5STSj2aYdoxwmvftkgMXXz+Q8omVYprBziTwNV8rl
oCn+GUoT62j106kxhY2OVSJPu4hYmVnP8Slbo9cikDhKFqLzBtGmgzVq/vc8+tMroVAK/P15RM7Q
ax09p3/1JS6vez+NFCAnyMRkAi/fAPycBu8qMsX8oshQqjEos0p+UpEhFUMlJgMk4YX07agE308j
9QvPkWEJRrPovnAm/hMVGQ3VD6cRpxpQNhDZBg5InLkfqnIyjup8lKrpOGplqSy6XkscS4EP6ZuM
hMkA/9DKLcQBLZLFvEXWs+zU/hjjqjZ1WLpquNA6fJpDSi8mRzPVl0BuGrew/edaSa5BCWUXU5Ig
HJ5NcL8GRwb6OKSOpvkNeiUUAPQIOHSbaB12nbYSTVSvWnMQTp8pxtncNdlOytOWUjBJQAWOTFXc
OA7qU0mSFA53+4zkyeQA6yz3mnKY1rVhl0hMmJKlmVy6ma3UDgHC9knvp31iRGdW0foHtCMJQnOb
RHKyB1Anq1jvsoRc49EWIUMw0AAV3AncX6JECI5Lv7IYFcm69JiyN5bmmO9F2N0oJjoJP9MLcmPA
tASoh091bL4MOedQVQhlUxjxtzmOn8QQkY+q90rGNE34Z6UeT7d11vpeVYfchjSA82H82gaz+giK
g/Fw2oIDx+vmiSaF4ARcnsglO7cPBMUqK3OQpb1ejvKZgbxqE4Uq2ed1Z57VQlxayMGu4VPshnC6
kUpcpIWeIwq3kMybuN5sv85dYHgmAlvIMgi94ZDL6N6wkklnSohCREzYtRg7BbvSl7Xk0PrwPTdB
JgGExcpVm/V5yHfXq0kSHSdGkIYjBYof0LzjX7Jdy0bRXFp2JYECFRJc0nZSbyRUIuiD+2TeY9C0
zyMCZStY3FYB15sPwT+3/QLpcZTY33rFTs7UwvYYmhHY18MO8P6tpt/oTSpL+e93ryNOr7/uXMtr
vu9c4oulqZSpaFxxti+N2+87F75pwE2yTqgnpIDFh/1DHY37muqWvNAP+lfxthNaiCU0MPoyFuh/
QG7S7KVF8d97GXU0uyAmMwUWlIme+mMrrpnJgOqMDhmbls9nFQRs2geFBdXWk8agn2dn9hkzwoE2
w9SzWl8Ux0nOAKh1ZHk4YWvI6dHqIhkOGw5DE3FoI0+SjmQDyIm9CghcJLV3HgxqvwEKW3A/dJlU
erMcwCLCniTZ5a6hVMbBDbJ/xEgjwJiEUhGsodNB5x/ze1Xu0Gzp2rbNwZU2DTUt5lx47BGR0V0g
NWu/Qx6bq8c6NwnazGh7T/JVPkVYaZWRW6VfHpAYHfLKP1OG8Y6+8CLQgMdeltmmK3cpllkcECUB
vWYM8le00PlGMTiRRahGhw+aEnAGRGhfKNTb5GBrjtQ1zPFHEHWE+qAeyKw9Vfgf6tiOXtT1D+1o
aOhDSAWIZMOD+XGBUWJaD2ZPiFtHOej3VetqYh69pOVGTGbYvJqMGnmfrK5IcZw8sggrJsL9H5I+
HlIpQou4xN1nvvLHSJ0Djh+FjFxtkSmkKO3Ts9gicCSq6zuiTjNqPdjOHabhPupVWEHatQRGvxId
HZAEezmxI5j2/HKnY89yRr04xWpxVVWD64vygGoS6wJGhd7i2BDVChnkV30ixbtGJoDDyOnTxEtD
8j/Y3fY6LOd6gTqT46k56gJ6rtMiWVsL/FnSAAItOGiit0kYhBCtBMF9l5OHRu0XbQgMjzzJDC5G
Qdieji1Fqdr9As10Krm+DxYO9UxDegJM3QbjyhwhVcejAjYzvgry/iwyNC9ZmNbmQrf2F851uRCv
awjDrgwEW15o2FalvRYLH1tZSNkGyGxjYWeH4F5yLbkVyDgzwMlFWZ1LYVlS7uIs0t+A3JC54zS7
GwSAcu5/naw9ygu7W8QG5Xd6PSbGLl/o3qYPGjx8I37TgeZBhwJOeiIM+4UMHg7DfS6gvsdAw0fg
4QoQcb3hmA3Aiufgxbl/gLOxuAO2X8eFP95AE3E7kXB+AicvoC9zrnbXfoyhv1gI5sUU7IKFaV4B
N+9MEE1W8FQt1HNY3stVExI6FBnF1eXuto9kAlwWXnoBOJ2o+70s7Of8jagewFZXC+Waq+M6WqDr
wNclrbgY4AuiZtSudcotz4KmhvdLOgWhfoSIILkaMPcxSu/RP+WbHMx7FszjNgH83i0EeCbPtpsv
VHht4cO3bf4YL8R4MKNEQi4UeVsmxAemyiaQIcxHZrLOBpjz/kKfX9yuaOGHddpM5wqA+hosiVOA
rC9B1xegG/e4YKC5KeMrWfFXMfJPZ/GAo1uBfd/M07eh56juFy6+H6i6C+vGok0KNT9d+PnEd1wT
psejI2tYGBWp4AGI4CNPheGSkLTFP/dshoD5WzPPV6NpHzujOkKHfU3aUfPIOqCbmdCON1oB71z+
Vg/6IShg98/FYy4CdUVLcic01B3lqBxk3FRra5R60j3MK31U9V3Qoq8DZAv3TI2PCmmk0xxuphZa
rI2xu6bQSuNd2FbXflh9QwTfePlQn02Ff75oUUuLjoI2oZuWw8A82OyL7I0gBPDUr0TRDZs4Ke7z
AiubGEBQpI0Pen2oVwPJrG7UD3d2Q8J8V0is6bzkH4+Sx1FrNZbjuE5QTeGB1wpGKCoZtVN4rw6v
Qz1R2xg4fvJJP4Rm9jhOfKKKDUxjaFUyYou7mvhAV2ukO1U3XkMu/A6iV1AKmrGTmwKcgg4CVKY+
4WEoc/OmrPnCiLUDN5e2DVtEXq2rTFz0cYL41ocFEQwScc39CU3VFX8qOQfh+Zzp+trQl4S/XgI1
kYozweHuhUSmdwVspQ7JwU4fjGu19B9CQSxonUav2dAMaIUHIpmGOV+wS7foqmYXeRbSsbHu7cb5
t0p6q5KUT3uOO7oJf62Sltd8r5IMUtNBW+Jef693vldJ9BRtmcqJTHHmUcvV6r1KWkohstooKrDL
01PkR+/3O+MLyl7Ug7QGLWqsf+aGp6z6UCWZsm1jM1vC12RNQzTBz3+YumhIcpDRi5YJn0nIdJFG
+PEyKICXk9rPPSQ5O/RnkyzVXg6Z0PXJsDKY0ygrUk2mHNEOmRbpobKiaiJPByQAZ3w3LEe9MqLj
A4yWhtpGEXD5uD/oadRchpIfk6gr+XaRs0rMTr8QXWfXuSfkstcPo2EMEFQU9GrNM7nHNbVaa/qi
IQD7z4dX6UNsy01pH8NKDnGA1KTjDIN+WxUlzbEodSqWB9LhJAYKWQ39IcKbvlatCOEQURZXipkM
X+XcMModOvXga6/XI7uwnC07dAGEsPBPsYSNuZficGvqBL441qBNl4pQ/V3TFcMRx+1wUuK+xdtT
fisGC5XiqKr1sxWRO5a2utoRAG2oO8i47Q1Zn5nLJ2hAo0jtTR+mA+zGgJybOdqkkq5dWbOcrkYt
qPBHyKOODpBINQNf5Q71MtMOeZlXdnGz1kulxIrZZMoAOFP7ytfUbiustPQKF8OvbYfqkzaX80U4
s/E6idqpXxPofoeuaoLdRP7ZAz0kDRG+ql7kyFO8GUrxedclL3yk+Y5amTSSJpLJK5Vl66gTFuBg
+QhPaJnxY05GdDKiptnYdlrDD7CtEyZjuB0VNQ/gIEaEJLm9EIySnhmD39x1WdGtG4yhLvBKFWuW
ks6OGWIpn2zSihTC2i9BOWJz5Wi/0CJaxy1ihgPNu/6AiXRPe5j60ZKsdWVM47cBvMjWKrNgPxZQ
j7AWCQlCuCnvM2j0AAamFOhoy0W3mqx8UwbEY+nkBdA0r1EMzqrt79NaMu8AUt5DolbPVMkqz/n1
/bWUZPqxKVR93da1fM5hNe5Ta4h3QYSSlL5vDCixnK7C2hq8vhmoHaNuXHGh8NdN1TSB9+/O+ufO
yoXt7++fh9f6F7GWS9bx952V0DVUZBRszEv+3D7fd1biBBQb3+VigVy4XT/Mcdg+33C+zP+Z5YqF
TvK+s+rsrDC9ZGEwPsAZ8I86Z2/Xy5+unzZkQbJjaQvJAmfEh0mpUMpAVohLOglIUE7SRzU4A5xp
nqh0eyN667nxg2FdlQYMjGmOwQRljdVNticiNX6MVKXzz0O/6KodOYZE9cb4S+RVKRmduCiBpA4X
DGJPJQXqjVQPKjIkbRbruJkbWjth/KSlBpt4PgU4Ynz26wBTIyatfNniVX0O1+3b01ot8v+d7ktZ
jMOxFWnziHEyRqc9prM6zp7WmU3UrNV8jJR9lg1zcR3MtIDg+/pL/kHBjMXWAlIvRY5qrIePXhdD
vIH8UxH14isb/NTKahireUMoVX0392HH7caezHmlNR2C8km153GVdppZ0Vv0JTIZ9VJqwGbM5rGb
mhCWvFqY1+SOgVbJRRmvTGJDyQ8Pk/Ya+UNtr0zC8M5H7vLqphL8b8ZgxcM86DYu8yrAW4c5oBC7
ioQi+d8G938a3NQdnyzRKA+aX1Q/vOj7GrW/LCgg1iJRyn9Zo8gyZVOjOqKKoe/8XvyYBH7wH8ag
JgrRt8bS+xJdih9WrSC2cfHJs7D/QYvozXzz8xKliW5Zsk0T04RItHSQfqh9FF9rp6QUximcmdXc
qoQ4AITPpwxEWygxY7LiRo2OjZVoDyUIbgJih/RSljTXlonp8+pobCO3FbKPdcYym2qXFTW6DNFr
i1GmYUE1jb8ftHQIQecWc3JZZMk90IMrUwmfxgH7LAXgaTLzytNzA2S3GAlcqMKvyOpNEEO5ShkA
EpuwJXds4UTkMeArNZm8QWuuQ8V/4Lwuw0Mhx/NEvyILxrsk5f6fRd286Y06KQsv5F813aKb2vyo
S5O5ncKYGV7kr5H4DCti2SLHz/vyK16ip6CPTbc1M99VynzdMBt06Tltq1jawqBonbHOv8oaBJIU
IxumG2K6AulFPZb5dCwYzY4akYB2OkPyTf0bpbIuMwwd9tRv4vlSac3boW/usZOu9LyGRvfvWfnn
Wcny+PuFePacvP5iHfKa93WoLkwuOqo6QgWOokXD8v2s1L5w9WBB0UEl1lPnR+8L0f5i0D79rpNY
1uj7QrS+mFxCONhgVmryP6TsQwD7cAthMZP78hauKoPpXNQVP65E5ivsylUOtalPg4MUZJV/PZJ3
inJWjZLNQEqqMwk9cPEikL+Xpju9hkm+mHK3iQ9GPSNk4jgMMtOaGNnEeuzoDunc4cnYUM4sA/Pw
ENM6SDCYS3ZsHMXsV5xwJG9mAUORNlnbs/VqxHiC+omIRt/XZ4KLw+CQj8MhztO1ZMEB42jurtq+
YTwxmk/paNPDikNs7AorQi62MyztQQ2uKoWICtmcZq9R0W3kWb1tZ+VkN/ar8LvLSLPOmd7uaNdc
R3hWpaJ5kAKrPOR+cahCe1eHerQDQ/CQtoFrSeF1phq3BA+ODkM6RBSJVlKhB49UyDvNKlex7D9q
NkFMoaYg4KjQa7f9sGlC+Je0rvBYAFGva+CVorAPlUabKalVgp7TU5WSECPi4Fhl+nMdtuftnH9r
F9OH3RbuXDCBnvxyn4lEwNxrtwTa0c+diT5TyX2e82CVqFD9S402oJjI8pMerDq8nAbdd8E+7bqA
3g9eupldgG3QykenVHwMQvBMuRU90kvbUPvjZdTqeR1M6QxmNHxpmFC7U6kYHl23jYm9EWGltsks
9ZSXuuoNbYr6m3Zw6Yf6Squ/deYkb83EtFcMmBjaQdykbvwmjTQLcd+gUekYmUegvntR3VhQdc4k
XGqJUV+mQbO1+7pn9IaKoC2FawTM9Ec5mJ7oXO+tQP9DcGOi1RjbpPDMjzqoTiPQn0Z5vqygZTN4
ehxKn95UG34TmY7HaUjsVdnEp0xM2wSNjlPrCrLWbngdLUgPWPCZYZXBOla7lymsucsZ2lr0yctE
WYn2oy5RSRDb+rVn+nLGnZiZWrZESLeWYqTeYBAszd9vbrNpSZv2jQh8Zk+EOvJ+S0hkFrEbeAxG
IMPTSUwdxAQ8oPS/HKLhiNVBJkLsGVxNP8EXzzESbqdePp9ZDJeTFYsNGaTDZcnF0eGo2mtarEFj
soma5TVzVErnccCsQIxysdJ42kijrPBgJgr6Cl2Lxh2YfMPByB3tLWucqXmNYVVEUYupdAhIn+rX
OMtfLDk4B4kH5VtVjlpXkcZk25eEwgdek8anymSeoSr3tBam61qRksdciWnCVxk3RaZ9il+XK6vl
gaxNLVnlwLN6veWggt3D9Zg1S7YXz40KEUPkMqznATsufbXVGGBtgA10RB6ySmwA/x1jVmzvpkxu
RPO17pZ8HOYmvVbvcrPT6Ftbe8nClMTow8LqHyuOShLFk0pN7xg5JPEuIKdXXw7KPBSpF8FHXWPv
zdy5nXEVKupDnGX+2m74/5Liam3yGRxDkuBLLTKYdo0Uy9TLVUG3dPl+fRNXLby0Cm4aAYGniBXl
DnO3j1F4hAN/tUzSsgJzTYG9Fi0QtuINxwaXbeksuWMomM1bHd8QQvGSK3e74NwyuG6hEaEXWfqY
Bcw3a4G/DSRURdDgZKhwHXS4OQETR+AlXX9aqjkEuaYDJTd1GfHF0OX8stya0OboYIaeweFBHFXK
ggVJpwKoyG6yN1Bd2F/kC7qu0CMb1h0u5aCSt7RF7il91oNeHuhjvo4LAA/Ywr5dkHiBMm6EqV//
WyG8VQjL+PXvKwSwRv/jcKN+rv+IfjXXXV79XiugSAFVj3DEtojeeRvevtcKCiNfWbXQQcI9+hN5
9F4rGPwE6ABmK7HcuH+8V2tfEFsu9bzxn2L/nxTtMHU+1AqIDlGjUH0oyGYAiS4//6Fqt0dDosul
hSeJiGHP6EHEW2gMd2Y/VU99rdG7byt6N44JB1+4QTIjgfSHqolvpziJV/YMLu6U1yp0w6oMiKZl
fNxfjoOF97dDhkPGScBltSPwI+2J+sNrZ1na6GnmUjMgg6jmHUVMHTSblsc9vLbadtn8WhAwuSQY
6czBHN9kRdrfou6LVTdN5Ilq3YLfosZxuC7LlJElrGZKcSy4KVf6u1zppQ4nfNvflRlWZI6DcibN
IUcXR9gX+DfOfOtCS/ryUcuq+FEySiB6ZMNglu9THy2eElhOSpQLYRooURilzhnFQ2T6rl2oTPDk
zM20uDvKkshOwsz7q4z78qoGuqGznPN+20lE4XRpZT2pORnIgNbsgixOJCP4bK0I13WMTv9KUiym
CXObRdu0FvNLpkoLvVGfmtyd5MoAKtDZRsycCuRyUuysXms3JDpMUuNBBe4f2wilH81krLs6Yz4a
y/Gfbeb5z6bz9H/sncly3EjWZl+l7d8jDaMDWPQGiDlIRnCUqA2MI+Z5xtP3cWZlpqRUSZ3d29yU
lZWKBCMC4XC/99zzjcayuDucgfzf5qoJtzbo6nXbDNQ13KK9dqmq0LSkPORlpEnc5XJ+24DuOZcf
BZJCCQck4q1a5n74UUSJPgoqZPUkj2nW6neT22eseKJHQ0dgRZztVKPobKSUVZDsa61JJvY8sTm+
ITwP31xMG9u+M4JNFkclsnWXSddWaUn+UBp7Rc25/czeq2pO+Lhdsk27fzss/ykyQIf895Xr4qlt
335UCeSn/lyx3N9c8A1h6IbOJkFmK/yxYunab4b8nx0gObzDX1UCyRDjMETpHEyFOgTIyV+nG/c3
VjfIFXnEoRaBpeEflBk+VsxvSRQL5IU5a85SJkz3hxTiqxVr6N1JoX4wnritWzLUh4CU397GNxnO
cbTOdOlDTRGMzShB0get1/BZUMCMu321MIY9ke6dXrRksSzrZNK7ZY21puAmxFoorJcJFg6UDYp2
WXdhw+aMfghUqha6766aa93t3LaEZ8HJmgH0CN+sVVaVo2g8OjEU22oR6gsyrHRUYhhlhGSe3YeT
ts51OvdrlM0588DOR1U+1ba9mjrOthlC07rPNEysG5sNEgVLtkqFMLtdpQzzbjLmPnkfDWfahAm9
jXUYJizVBmmuuyidwoMSONlzHBRi5YYkBHlzNQ9rJaOTM+S0ud0IJFDNCTGljGE9D1ICsSy5se2A
cCK2laG5teboXYyK6eWF884ZjXiDHHmCXfFvlZJgyxr6ZgsMMx6jsGqPjtwOhnGOV75DlEALgGKG
zbChjkCtWeUwZ4jh6BT3kkLU5ljdOY3JCSoYiyfNkU2LpQwPVaNkZ1OiEhmu061TFW+pjYLKyAzm
6aPB3LZlF69V0lA5cNo4N6w+O6cqwVc1AZN5hQEHEfS4dpSSs6djvEWtUu6o1nBb0Nf28tCs100Z
2p4qlOeKdMedWLLe51zgbKOmebdHRuUrncOdnXNkXY1NyCRJp9vbsszbg2upyUpXouSSvxn8ohQl
oPBAhnZC8oNtsVm1x/nadQMskm6Z49mIGK8d85SDlOl4Y8/CXCwNf6ZjfM4KSJGwTkKvaUx816ON
CMnOSEqvhprOupFstUzU12RtAQeGY3dtx5ylCFqvyYmbycGinZJtFtWd1u2AvK81p2o9aXaP7q6t
18FUpDsNea5PQTnf/bvh+70kROfivy+bl0+E1f2gJsQP/bFqftSEKM5SAbVslk3+6c9Vk5qQTksY
TpxTPHXbv2pCzm/Qe1SKiEFmr/dRSfqjJsTmkJxEWEB2Z9KppP2TVZMCz3f7PP4wwbJusnLyV/AL
v93nAbJYQijqckLk+FAbGQEb81xIPw1CySXfOLXYamO5t2Ygrcl9gELjUNkTb5a74i5xzEuj7Pa4
kNekaAXtyrZzTsJxNFb3WenSv9bV61Apmn03xqG7KnCxPTN0weJQaNLrilcEx6v1oXuV4lfkfvE6
lzJYVWph0VPdjlIUC11/ci2a28gwVlUEuVRjlZ2xy5LMcm9gjvNUKZ5Vm3EvMNFGsXNgmGg1Y6ht
wMkQuI9emKg3FQ5b14EoGVqkth2FnADP7VAxjdEHxfssFbjsYjaBlOLqUo9r6dOpw5dbZ8nETlgq
dHHp4oRbVp2Kls/FtRuqSHerMoJPAzeg26pg6R2nUvE5hB+13j4ZeHx7fL5Lb/u0rGyKCJGkdYZj
M1SfIukAZrrCczLjOmW2AqfGQxrTTG3wBncN6jkpEtYCgmSr8l1XtRUqzBu3rxCMG/lFFeZ7LZ8f
UpzESjkQcmLNK1WZUecw6ksdgROmoqQdGdbprm4VpiEi4SvY0FcBcKRvVZFz0nk4sJTgwx46zFZR
Sdqwi8OnTLBR5TwQ1siDFr9AAuLTjntBp3goDOpG7MlVr500nwyUPVuEXd83pMBCNhtUPqAHmrri
oSX6fNtZSLHIhs/3Rtf4bWtddhPsmlHquh8Vw8ZUg+cU2WeaTYpn9tMqKaanUODD5HdKpz1JizJX
MaICEBnKk9qQGIqmBlAyNXyNyh+UO8MYvLFrR217Io8jcZGNBtGARXOLt9S80ruck7weDjDwbrJa
mn4XAWeS7wctlg32CrWati2UuEOnVourPna2tmLu0Uc9qJa1U3v9YRzIuMU2pq66VteuKGAkF+wW
Krhw2nCRxcwmCQGKV0yJCXmqBNtZ09SrajL0a5Is7V2cDlvXRPQzhoc8haeaav2JEQWLmtEcn8hq
GH0XNGJ2yDPpSAnmQZn51lg8zy1SoiH+XIYKG2Sy+8KIzzPJ5uxEuIPHGNAvRq3lGvBXB8exVDZU
pEVwJKQpRF+XTeHXZ8HKmIY0U1ztlOX3qflqWaCq+6/WzfPvv+x/FX1+LkHg2//9Pz+4BGoeTq4q
a6RKQ/nbS8ycENskRm2Yts99ep6ru8L9fZ7734FNjZ34z55Rr28/kizLn/rjIfUhWdaZQeGwz6cg
SfI/H1LqbxYWI5M5fgNQRfBPfxQj7N9seTuwvTeY6Kep/9fWXvzGZ0k1gh9AXGz8s3hg88OK89cN
KCFzsC7EfniQqYc48o/4+gZExDe3ekfYe+DmG3sGOu5aJimyucGyn32qUmz0U+eulng+yCHHbZGH
l1nZI83T3kxlAIF2LXCZkYEYOztOTMV4i5uQTjtwBFCU6yLGdNyVJEI6efaguixRQey6azOuXrSe
ibHOYR68D9G0DY8iy981gEJL70ggCaMvws1WyjCGD43eq7siSI9hPga+HTBSyJ9dbvo+vipjaPVQ
0x/7DPteHbP9bw2TTSW6QiYbg/dhbN+gCahr0G5YO2XCzEwT35ZpdD2FBYKl8UGZazz/Ihz80oo5
nyjWwRKKtepFxDvgRsCqdvnsWMkLAtirnL4w3jheYt+06bqttLOSwQ1n4WVZLcekjGkXNpa6amP9
bCXJWS2MyYtj9gCj001+xtzTloY/T5h2fAnaBN5K62Msmw77zIgHDFHvd8Mwn2mD4idTGQ5qDeBJ
snVv2xxBW65dwx43lBAIVVfc5Rhl7iHqJlD6SIUkjYhh7oZ9qKFADEtKqLQsYWd7C947bgF6I3W5
b9OSQAUe8Ose5zJdi844sKlKNm46vXIGwvc6RJqvFiql7DxxtsboKOsqNC5Ere1r06mopAbB9awU
xNiSuruZQyKL3CwnOVOJhV/0RXRdCmVbylTW2N6USf1lhorYtqEhj3wRzGpox0TPmxubhiocB0cv
UQSbLqyJorULG54/f+ncCGmCzcYd1CxfZ8U0raY8+AIkvBdhU13GeCpX/NJ5BSOH0biYVkQzrONA
69ZDIdqDrtc3acDck03na5VMFjdkT+tcbZldaHAn+2G/vCA6Nryq7dEpKiZBZWkhU23kMyXR4cVn
55LeiLtyJvHWVAMRroxhFiNBO0bHrWyZbGPCIc42VTg78H/itoiML4Od4trLKbW0jp3tOkZe/TYc
b5VZpkZF84ttGkTg5XThae/R8ugHbmPXJl2CXlNtZuZOya1HN9Gf1bTkeTlhAJsYemRYg/eZCQBz
JHMsqp9n15QYsV3bq6J1xTVtrs48aAsgw+Bx88brSaLBxviWQQpPxJXg4HMQzUqMeIYnniVYbI/5
4yhR48AhUCCQ+DHU2sMkgWQh0WTkucCEMi9PYsvkZnxyJMg8QjSDjdPKkZCzJnFncOraqyUCPVvF
3QIT3YjqopeQNDFq7zHUtG5E+0J3joPDOBhU9QJdrUNZRwpaYYldlzMnNzPrOXg25o1aioGRajBt
cjqOjgS3mfHbE78Myp3yh7vhjmyQI6fgdwHzTTiRXJrMdRnk86FU5iddZZ9daxDP9UTdM54HcUAP
DvYdTkHvJ3bXfWJaYCg3U1Qx7xwpTXlroJd8KKdpfJwCHcO1UNuh2RGbYX0hR846dG2VhecszEJn
39WK+SUIhR5cJhbd39xNu1XvBp+0yMTIOOncGkGYMQlhEsdQopMbE/bXI/fd2iJ40OMufOzNHmE5
m3lajbuIyi3DavQc2OoXnlsG1w4RE1NBVg9Rn4tPx/mcoVe77zVWuLyKWZ7STKedk7yHjX3dCHq7
ymgxv9tWOwLRM9+u7BvD7V7zeXiorXLZ8C3eOgF4k5xyr9Xl7JrxsU+Rz1WV+kRyDWR/McLI5jfa
SE2364J2VzP5wr0WnOZU1f25I/hdISoUAe6opfui1DFcG8WTXQ7Rmsy1hvy/+CJOk2edoMQymRij
0DdFPVfe4uDANk2+hxlVDOx4d+p0UQychggEpF9YLNu4j7fK4JxCzYo3w5y8CyMi6rTbB4XBYFIW
rzV6hp7mADpmA8PwBF3d5gul7yhg9WvyPGSWBJH4TDqTl+gx8BeA2GzmW2NQNTIdOdzror6JE4sS
U2MTpFefy1aNfeDciBxL5a6O9CsT3fbKCpUN3kcOKXbxkIryXOb1lSKIUCxV8SlxhpdkFNF2nLLj
SEyHN0zdMSA03arR+jFKPluUdvVOHKqASf0+qZATqPuqdb6ohsPUjcqIoFBKdOAAAAVMqY/L0ytm
rIKWfcv0C/ty3XwTg9tsxoXF1nC6Y0Iki0enm0mfedowv3gwO4fTUUweYdzYnCBg/PEtw/PhdFbi
2yzIn+oeiTalj7SbL4ZSeUgNPmrVoYLTlx3LzbDJtfAtcd2dxXG1VPjXoHLeuyF5rVrtmOv/Znf8
z++lYqlh+9l+somZbXr6e9lD/txXO0pDIi1Ug0HTwN+/2VESzWv8Xg7Bwvv1hhJGTNP+xO7Z5v1V
9WAbSYmEIW3CW+U29B/Uig05KvDVieZjQ0kJBRLfJHhWnji+3VAmqPJ1m/zLU67S972M9M76Mmlq
5OytpihC2hujdVj6WnwRkTk2O1cpgB3GSRkfm8VuHwgiK29dN7YIrDL6sdwYhd19ao0eyzudHZt5
HRI1zVh5mHQOs1O4mHjS9dTXJ3F2gKVxqZ/6QdyF2fyEQvFJJwGLk9uNaJ18DWK91bM85kDOnkhL
xXoaglWvNAeQUTpuLSBB2AyoPtT5Ka0x2td0uXErh63XaqQ3zQtBSZCzm6wY8PQWzDxaPb7akH7d
MAa7KmdsaMAJHAttlRr26xzgKXUa9NEDdY6iviWL8kvkQACUAbUHpuwQHuvLsnViN/fLAQM+IsSb
RNgXg9N+1nGwpaLILvKmPPYRk1B1oDsrs7UZRmhCIImRNKNqSW+GurqvzaW6NJoBHXLBQthIVqXJ
Z5JFTIk3ZJAknTFF/lSE2QWmEng9UjgFIz6tpiLYVZs3ou9mYIIpWzttv0PUtlXdfKfxBGOkK+Eh
4fqmCYPOAWXD8gACkvAeQMmOjPg41i4u+G/mMJFR5JYPRZS+slRdO6TLOVX2oqXRnSjJ3eu6xLwI
iMYDw7iOKzbfg4UcHBSKXAq491BieGVGYoYQd2bDjFho2a9Eqx1pld5Us4PpQXV4KhS27bETS9BP
TMdCZgqrIxxMWWyzGJOybvaL32mkR9UFAXptthICQT5Ps7WoutvCEqOvkJjnRaqzMWt7uOrlRhmB
m9MBvOy7VOQPhK5NK5JRCWCgNmLRui0WgnFrhUmmZO7vmzl5DobR2omo6QlMVQkwdT4J3flsB6Gv
U+BihpWhVvlnqMONMjMGECynjJxADggbNzhzs5ZM7/cXmZuel1l8iQV7s4K4l00zxWzw2EJAE89I
OLjtNCu5KPWSYgoxGZHifFIYyvU6a4x9LZkQdzTxJh3TK6vKT4bbHE1XnIeWfWInGaHQNpn5rL+Y
xEVEln6fdxltxNI+VIM4zfFoUE+i1OUGm3CoefwG7R0wzbNQpstG9G96kN+hViEoTFwkQ6rt1ciG
uMxcZuxKPgdK4K+ZNvIVW6j/O1MGU1GIEy9eeN0Yfa4boDZNzU96oJ1ryjAkFD4rSuA7Jem7dgR6
kZOsJpPUeexRxsy74lMkQ4Qpw+j46IrsqGR9RXIOQ3UBSKBv5/kTDYV03c3ZtdYGnzOlnH36ajSI
XHPnOstFVnSXvUaMRm8+jiJ/ojp5WCwuOjLDV8WIpt09GcinNlO3pmHujAp5QhxkjBMK0ytMp9jM
DEmauhzK0UDUrIjomc44xlpTXLcy0vowDdrEAlEMJD4QQuO6dbfTEudTnxcZh7Cc8J06Zv6lzlTk
wS1/fViUkOGTqZ+n2TzAMmlXEV8sn8/cOhU2lS5rALtnHzt9Wmo8MnSds2NiMtfa8Rasx0zJdhoI
kFdVlGS9ECSfMUHRRbtOMWg9EUaMRx+PxEZJgvTfju5/HtPUW37ymH4rXsuXH2IokvX44zlNe4L5
CcgKTAF81WUN58/Kj0l7Qgd8xu9LVc5lZu0/lR9TJeVdx/7rUo6EHJeg6R8PaqbtEHSppL5SS/on
D2lL8Fu+ekjLsqOF+YDKD3w6ft+P1sVXDV0bKNOhN6qcNCXz8Q9xxjeXt2CM0FZZGcmURFRaWrJp
PkIr1bhqbtyGJEvdHhRSLe2ShMvwI+zSBdta9a3WfOKwSBimpbBuiojQJl3yX0ktmTDdWbZhO/Lf
aL9sbUdllkGyY9Dn03qoFHfTAJYVpNq+hDWsWa0Tt1FK/mzsIeEGyaR1Jf9fQ3Jq0B7Nl+qDXZMU
2xIN1mEs7EOSNIY30sm1Io5NLfBbr/fP+aTzjZBcHAVu+qayeA0yN0t2LretNQsEsdeSq8ubJFy7
krXDlAWyLvm7Jp0Q4YPkGcTDrx0e1J4ueb3FGKk/ERWStAXr5dwhr5d8n6YxaE2uDYqzq7gOoxUd
outk6fAsAAfOqgwDZ2kcKX618bgRDkdRs8s6z5FsoS0pQ7xb8aH4IA8lg8jxVV23H2AieoGRBRVa
cagc3eNjUU4o02bPAmpMOuKmCCg/1JJ3TEkivF4kA1mgq76ewCKJfol2riQlgw9oMl2WeMMjAGIX
fxOR04nEKxsJWi4fzOU0EeNFxQISkzT5hY52UQW3xGdU2yFJKnXNjV3si2YYWMxgJAOhOJfwJkz9
YY+6TAU/XFxqdR9cQ8g8ZpFleVEhnsKGVIsR3cuabtxjCv+zDjrC49089zslvMjkkL6TzKeMaocf
zfl7tFir2ggJjwRMxSFn2r7ZOMQoFqgRlEHsm4HgVN2ieTIkgEoJWCEJMlsz4j/chuP2ZCGxNWc5
ZUSGzcgfQOplEBOuM+rm5WBVymE2bMhYWuBny2o5xjaUCVSihgjS1QkaW1VJ1l2A/FPz40bDrDWK
TVNb9VGYLOJKSR5cM+oeqEC/ZSr1i+x2dCqdmxmC9zBOueFlQ6htLDNwrmC+N0ruvupKeyGS/Lrs
+/sAQ1pb2QRg6Ep1NaOM3utyXCgsl51i0TXK6fAQ8xIEa8d565TpGGf2ETj6Yo5wdBFVvK2nGYHc
suE1n5y5IK6E8LxBOVpafJFHHATj3gouC4faTo5QbtNH4W00T+G+jrJ9k+BIrfmQnIi9wBgnnpKQ
EkaB6CnsR76BIj5NQ0nQKFEvntINOf6bmqCPbO8SUu802A0beu9lSgaL8y5spru7fMOuflOlta8O
NFdCnTYhHZeoSvY2k7LuOPmj1n3YSkhanrJ7J1NPbNruYdycmfzdUlCadsUhcJb3qtZurKXf272D
riBfC0b8mUmdjoyc+6AnT5EwtqIZ1m0YVqRFO+eWrCun1F9dtAtenhlvnTvfmMqELryuLud6YVzS
9Cs+4zzBY2JqGNHywR8WFaotyF/o/t+N8n7U0mRPltQZseEpd6hPJJgxp3Jn5yXx7Vw+sxDlFtPV
XM++vsz7IuhXisMGZFG2bBZ3tlD9vEp2op02ikUUFrqjFwHllinVToF8TiNS26ryVJAcvC7UcsuQ
cuJhZTnrHSDuEO4mBA95qVxQF97MWcy5HYUfXuOarwhckU+GxIruth90GSKGt5JMogkgLHHU3Uy9
Oh6LzxaVwXZhctbkGnQJzUA/UYu+bTux4dhCUWPCeuDeZQlBq25GLnI5qtvcJNEucLkDAwXyQt04
bv4+1/EVK9yGwrnfRs5KOCDiYRvtaVvuyMD7rGodWyznVojqsxO1N+EwX/f5azFXb7WqRj7siWcb
OBkFVnSCX9OQtGJ19kMjuiYd57IcjBs2m++agr+mUT0VY1alqjvFHXZOq2zUKLtNrPKis7R7jjbk
aGAFEFYlI4mOrdpv+Cpeta6z0Yz2QLIsF6zXpNMRg1G0K+QUBePc+svYl5/5VXQKmAeaW2x2fJPw
UUWjz3j4U1u09F6VI6Kq/aLYCD1sElGalFQjHhJRFdQ+3QF6qMLe6t3wiWSyLx3jC3Nl72nygNMw
RlB2zY4Ukr065RzNLHfL2PXnsVE/lU1yUyoaha+J3WbPe4eXp+h2dmdxd9pMQA3XDDweqwXqX0Hf
ENs7ZwpOgbHsiSY7DIF2SXys4xV9vMkJ38VjRQ2JHK/RwU3hXkCYP1YIbOaGVjTJvPdBI8AQ21PR
WjfA+KrHmPZtT+NxqKjcNovMls0uMitkaLhWvZGWRiMXqqX8PKfdUW/QHVakONGUTwzkyqPc9BRU
tor7ppoPml4eFd2MTkpAuxk8LLttwWX8Re8ODb2BBV/KwLCKoiSvFIjvky6n+DR2sefa3SM+Jk5s
RO2VDGXE2qvIafN29ee0ifaqrp1Yb8GSZMogUfRIHfleZnbqL6r2GFlttXGN9C5vOqbnp3RLcP05
ScnaS7GlFYR1bqDsdkEq/FFX8nVMkOTQUpAk/tfXZn2VZgm5HsWZOvc2CabDhDCoUqq10iZPHToA
OanGN4A86GSw130frptIKXyq8VTOoFUzHhLM0+wGxXklGWvD/PkWM8EmVqc17WvWn5bCaDgtmykv
jnNHDEhn3dFu4lmDh7NoOZ/Fqa9Eo3IodJN7nVIf8XGNVu4zpbtcKJG0TfXSO806TFqXAbXpcjCp
qeYqj7+vtrT/V11jiyl2XdB6gIWGt/q2jNONTdP0caGc1JzeBzKb9IYM8t8PEP9VNC7dDH81H3/f
hsogDU01mDww9O+aj7TtVEHnVDlNBDPSP+gfpxIUf5VDuf385fxow/v1lb6zRJRBOWtLwJV05yoy
OS7Z2npZ9qV4SPovcSn8n1/u7z133j2+TeQrcBikZfbtu6fTDnGCrAzPg/Kl6491+FJkLz+/xI9e
EbtlNssSc2f+89tLBKhQyGyvovNgMom07ed5nUXUfsNtDGajd1c/v9wPXpFJ3Jc0OUrWSkjY6asT
g2yh6bPaxWdmar3YAJtjLDv9xWsC2v/+fvjmIvLfv7pIGyidJQIuklBN65oLmOrV/9/LkC/zqysM
3UIJhMGhMy1DMaLaKO8C2o8/vwgV2J++jO8+miqd02rI2/g8KYYXWb4bn5mAZ4F7tCjutSe9b39x
xR99OrSumYViCpEpBVmU/eplpTFkfpFo8dmur2s19KtsbwfvP39VP7oGtLEwsdvpQMrfvXWBZSjC
GZrkTLrbOhfMIpX+mN3//CI/euvwgkLfIP6wiWX+9oWQLG/bcTwlfD6PhbiIOCkmLAZucJv0R5Ne
4hhc//yK8p76bg1iifvrit99WBGuyabSZlr0UFGM9iLc/sVi8F0WgSSwLc2G0dYpiAu+r98tPm2J
wi2atPycXADr7Xl4XjIsuLauoxvLL9bx5tee+x9+WF+9qu8uCXyRT9CtyXkQLfI/GUnNolDu/l/e
Owr9zNRw530fxCUWTdhdribnoHZ9nW6s0/3ivZPv/vefDugMd5sLxASZ9e39UDG+DqCiJGebo+/s
6Ow2v8QmeZdJ8ovX8qN37OsrfbfAAdOVDSXN5Kyhw3KureC2Xn6xvP34ErgCNBcXO4D+ty8m1tLB
MZcwPRfFyeonrG26h2bsF4+6H32FuNn+vMp3H33aDFE3h1wlTl8yZUdi47rBwYVpMO3OSrrNrF98
Rn97WUwF4HtnPJtHEZzrd1sFXDR2ldtldu6Gbd18GcW6Xm7+4Y323SWopX29vhVDyBsa1dkZG5in
KQg3EusXb9vf1oGPS0jciqFwlzrbt5dIpilXMk5a5zZ7UZY9TYJfXOBvtzIXQHoF7GdRePubFp+l
0x61ggwa9nl5DzOV7OOEjan79vFe/Qvjyeix/16VPWdPL2/ND1qn/NSfJdmP6qoJdi3kwMx3yQl8
OozhYxCwQOHYbv0B47m/sXM0pCKWxxKBgXywX5VkNY1+DvgeS53UWP+T3ul34ar0TiHx5HYR9E/X
5SPw23uQuX0mf017PHVgob7ZpZ/KYb6BnQBncMNTrtXJC2hZAbNi3EHqJP5gKMGtY4/vSqRudO48
BH6kq4Y07+mTOFQ44UzI9XtuQqoyU0Z4+dAXN6abhVsVjGQ7DsElYB68dmU/90Z8K4blU5R3wtcz
uB+9Mv2pjPIdiuiDUSF3zm3pM3SLzZLpt1xrNXYa8STI/lAmzsQWOn3iI1y77FL3Hh4x8ijSvSYt
Fq4muFbN6RQxrI40uvKoY1zrkapuQCQxhprDedLtci0PCp6tgyJzpPKxQjI2U/tG3Sd7iukxM77a
TqPCvGG8v+WYiDq+nytjbaTBVuAwJXE2d3dBZd4R9o4MwV31hrHuq1b16D3FkFjzftFgh7sicjys
lg+W+0rfcdXo0yVWsoM9dJ97dYn9KqGWySQ4bbs5yDwxAMZY0/w2qOV+0GzGhhSqomr0EGo4IqFD
/MzJaNYxbhzGyy7RbSq99pX0PoRl88Bk33Pfz0e7TJELLStBxbFutX0fpNf6DAIWWuLG4R0KYkA3
pYTryLKrxnRvRKw+p9PCJBU6dY+UBOwF9nif6+Zj4rhXemXDkw+Fual6jY3mZB/pO92BJBYM8qkP
8ZBkzFrBVhnBfTUhFu+VY9ikrtdmGRQnKpdBuauM/mKKppuONAnGdj4T5fCCXpUJeMATv6no5i1Z
6az1tn635/lW7WFNatO95GO6GIlLrgHaA/Ndq0iF1iXR1i+byi5bbE3AljhbROKUnhra2yXBstcU
5RejEAyDtjPSmunJ7EfuL61mfZT2gqErLxgMfQ24I93GyGm+URTLxAFRAp727nVQSJfQI0Mmf27D
GCiN+VYcwGNHuQ7IjzH8yCNoLlkpEeXfGc8EOuD0Iel4k5aC9pgVUSs3c/2mE9XarXLqZDnqJQoa
1QG5VXil9+XD1D5m9d7gO/dIECg4GhhWFJJkAVuH43SWqojG3QcpNvTSbqetOVBZVvvR9PtaI9FJ
zibFSvVuJcQqXIzYc4vrIAqSed3lab3cD1ZJDcAaJocY5zBIzdsiMCoqAaHxEJtJuTa1/pYdLNz7
bFJ9Na2VOw4rJmUTduHuFu1vu2Kk1VlxbM8OMVkS65zK0LoajcdysBKOunzdsohbGlgRun9qSE+m
6KnE+Sp03OnWqSbhlVF0mqLllcaGR/PCWSHM2ahjv+rTnOPyRIpvIZyIWdFwk9n21WQyr1bFlF+c
T7FVbCLHCrzOiTaiI/LUoXuiArJO5TmL+001KLBqSnssq5YZjqE7mFERXmXpBPiOGWs2tC3DZVdt
0pynur93U3fXkA7N9Ov43ArzoSyNz7lqM5hPyS3JwEfrelk2PKgfrEh6pBdm+iFdrsZgcL1ipDiV
RtmFOoJWUOnAt8vTtu6sx0oRlafXbIuM9H1e6vsqsR+qOr7MGvO5IbrGV3P7JDr3IPpSJZQmwsNQ
j/R8u1Dx1UB7VqfkhgT4Cz68GoXvMnpdat/nA4zFkhkdowROtK6dcCUWxSTsxSVlKq1XZceXaear
Zy+8zkjftyGzIxgRbnBJ73tdO6iafQz67oImHIUpKmJeBkPGuANArRHnmdfb5AmYubasg7R7U9Cz
bUq3Jo25d2OvqhgLD1xCQrN+3ukFHe4weFLm/CJKl3tlhpHTpvkFaDu5neEM/WYcd1VrFgTsAHPa
Yf0ylsyjKA2hAmVe3MeOOKJafokXuyMgRc3vpqLZKYV+T5ci94OKTyOzAyDgVF05gcOyMe7tvGJI
U/RMhfB0qLoXVycQvs0z7rU270fLy9QQ4KYBPQczy8JibQq3pQQso1r0j9iWf3dEHyN0Mt3sv++I
Lt+al7fXH+yI+Kmvd0RIBvmuWx86Qf7pzya19ptuwphxe9pyc8M54o8dkf0bswc6cwlo7l33Y/Lu
jx0R4wlMtNgAYOyYgNP+kYOQmQZ2PH+d/z5oMptAK3KepYfQ/L4MaSg63aE6TU+aanbNwe3iSkWK
nJsKyHFqM7Il4JtYZ5Mas2m66vV8vzT5jhw1NUi2heTSZVOucx7oc1VeFQ93mmE2R3XKyuhzIFFV
0fGwmSnl+fkHx5oCcjPpu6t0K/NjaNcynU+TgtTctfWngK29z6TrsYKQLcTEBCvM7AQ7W0mItnem
B+YJXkVl31RGyS9AZLoLJ4spM6fcma17jVHhfSgbfZ0nOV01CexWY5feBzC8eFTBldS589NJO5Hv
cz3mGFCFfOaEEgKeGmc3CAaV83TcBUJ/NCUwPJZzvx4kRFwSq7hmH5vsKoTea7dBp22VAUxwHX3u
07pbFVaVbkNSS7xFciGGJET6D1hklNwIY1w0BeoPnIRIixmHBIxJFKnVOpXcSSsJFFRX4Y0tqRQh
+ZRSkiqo1qxTLOmVUINjmQFaakm2RJJxKSTtImq72zaSgIk+YJhBcjE6gEwgSZlCMjN4hAb0T3A0
zK6B1CSSrmFFNI5O1VALz92ZZz0kXh0fTFsR2t5N6bVv9JH9wmyn2rNWG+aqJ1PbrpPkMiIPADUL
UyZMwkWIdzyC6TeqlV+TgNCM/jSXiCqa9I2Rlk91m16UKrMO+f9h7zy27DbWJvsuPcddCQ8MenJw
vC3vJlhVZBW893j63lkU7yX5U7qtf6yB1pJEVh2Hg8yMb0eEPWxSUGaPpM1T7SqnRtG4kLJoaZbp
zRjm+1KrnzUlOcYDMemVlt3pARVjbeh8MSCGaVs4Ez8BnB22doIBZIq0la73OmFKZhjPJ/z8+UKQ
RJyUpNXpbBiY84e7LiOBY/SZw4yW5qyyOfgyjxxEfUEpb+my5S0k8WW6ecgA3PzCLL5ecDxJPEz1
zVIPx1Wntks7m+4D2XRAYJ7J5LCPvYkN8oJIsHNrDdnSESY0eECahyDIboz4m6Q1LUKGTzaSspcI
aQEyXYr/ZqPfkPFBY+QozrZJgGfCHprpVtLshWgPVjT2HnNpjd7yRlmITHuxRhWPz1TcDjIM0J3o
SfHzxl5U+OFdgHl2zETeNrb9nvnBV3aUqce3y2tjqi9jpJ7OxE86UYqgCgydXTNlq4I0CznCcdcO
l75QjWCZi7ol5cxsEbcURuSA/DEb633etMXdP+vHt/UDkesv1o8CzOk3ywc/9H35wN0mA2JdlgkO
HaDHPy0fWLM1RFzO1BJl+vfyQXAFWp7h8uVB1tMlpvzH6vEZaUGeJvZsOBs6m/6WA1sm//28eBhy
4aB5ihxoLHYOi9uPqlFVVMDvYRxecXQ0nW31GQ9h2heV3AEu9+AzO4KAyYEgia7E3o9dSyZMTO3Y
1mvnM3li+EyhIBt7S9aC7r+WSRaL1UD1kXLgRZOOqYKbEE47K0pwZSR5RHdgZYRl76mdNqLyzeac
Rl7auL5MO8htHavbZGGl4a7mgjjUU2ezP6yjKtzauEyIz45NZaHTtmFuq6B2Y9L3GtaAakjrS4AR
huGLPg32KnAwwywSx8Lq1HbKu4lldfPPpf/t0ueq+6tLP2/f6/fpN1c/P/f96ielGcAPLRdtmrgB
g0v8h80TIZBoiX9ITVya3zdP1r9cFZsFYjZzh/9c+7opo2FdNHsJ4X8Gyv4NLYki0F8vflwcsnXN
YSNGTdivRdFZSQT8pDrWOdPnfk2CsrEshP1sc8Mv7O5RI8k0ma99ck2xfqw0ck67Nrj3ZfApJJTu
lYzhKzJRgXzJR9WH5D6TgamqjE6dyFDljEcO3kBzFumqIiBIn8YVoMGa0EQZwaoJ9UWRoayqjGfV
ZVAr7R8+7sYYExOpf35Q7/OBkWWsh48ZHEc+uc8zrEdaOrU3RNUraVfXbqi/1pb6NPaT5sH7nHCd
FN4UJnCzVXxATgkWJo3oj5NwXiJOo4eccMaVOpCeKMr4PunSFzHZ887IAHZIKYG5m7dzpb30TXZ2
cyIaLfvWrTcJCS+VW7CexsN9F0bPTqRsB1E8NrUS7G2tXLqN4WV5T2Q+xbyUfo9TdJZ0eTXR2MmX
+2sBP0ypEoY3azi7EqQuIm1nFGsoyAVNj56m3QbVqYaHapPnSgurBU9x0zSz3AZyoDegWFqTHJEk
1iA1DH9RmE3Dfs/NPX/QoRKUo5UVw7Zo7d7zo241FDE8lXXE3jWvDbyqXp+m26pIv9ZwBMtW46wd
1mJTW3NIg2V3NTnuVsTQQMLv802YQ0RFQINpzuOlgDxmIKWl+k3MU7RsBCM4Z14WEBCj5bvSMXmE
1bikpXvOSmNpxSiO+POOQxDOxJUubXPGQWzAV6XCxK0kEe0AZsqzhp5svMTg7mZTnkeIYkZiFyLH
FLnAeBlus9Z+hcPbYRxt110DzkTIgqRIrwfbajxbZXZa6YRLxpVnVPFNrlIlFfLJKaV+b2LcqjLC
/Jm6OMdKUXepU5zKeHwhA+MhbJq3siLuXh0mfzlbFk5Y0si9qcbHlcTtrp/aYtlXyWMXsTDMnEa8
KMyu/cbQPZSkLRlExbqmh4tQGGtYkAimaxF1mTaYG4EHRVlejDrEqCE2lJ8CekGMlT2M5pTqt/Gc
v6RqdGjV4VSQD4ZulO9xVR4Fua9a1s0ciEsixpy3mHYDNwxwBmuojU5zNzTRLVrdPYTCTuTFvquN
d2oFdwmRk4DwL3mT3lsJglk6D0dDrw/0d566PmkXYE7XadZvRj86Gp2Fe46jvlvsVDkLmgwWlnAf
GFBu9aQfynQ4DI24EqGRrru5poqnfRpsMlYbY6ZtiI67TlbOzva+drUbMyoPSdRvjWQi8C3Nul3c
axdD1KegtOHXethWQjyhZW+bonmkKeZAn+KpCw0y1qabXKSYN/jSJylS0RA9Bom9MYNim1mRs8Mn
urH6QcYztic9dyOPWhJ268EOyvo6U3r8IaLywq7ekSv6JMYhpeQvTZeu1t0MoXnsCHZazDaUFsOW
JxbZrd1RYUMFKmHwdJbBpOqp9TI77mZQ2LO7tBdF/XNOVEVjio+5CTqc2lRy4SOIBFPdhT0reXaj
UeSMvjuk2topTO59o67vMSPPK9pWD27QHTFp7Ai5bolGdQ8hYprRpwc/mIYFPNNp8DEuR27+1qNY
o7GkZ0W4m6pwz3WOP9gZxnVWCXUVmepDpCLFqsajnigEk8S3s/wI8X29lQSGFk2AlXI4qIHyOIr+
oqvqWSR4HC3E83oaXjWFVJeoDOAZK4qpWj6LWjXXeRdEm8rJXkpdP00urXCk2G2TIt4kOUXCjaU+
ACnuq6ZfhCFn4Ea57nExeZpxZwfdKormtzi1b2e23MfcrMqdCPybMstPioyY8at0Zczmi1paGypG
kM3xw8StZRATOmrbBIVO04L3hOIkdkGFOEz2dMSxpq1VBOO1iPSNTfAe6SRhiZcLctIKxBbB6KkZ
otuKBrypC+78utnmCo1vpB0+5EO04TXfEbn72FYh7enGVZJAj4ne02KLfKds3JhGQZttcBeJuVk6
Vr9VUhjr2dnVjUX9pLqtA5e3Rr0oVZ0vQkYSfafdkkHurATHzKVTy6OlSo6sbp2alPV+xUFHS1fd
UKE8ZlHLzd+yD1qO6Js5ab8OK4t0LHjpyOn5dlLdBxi/sGpeEsewLT1KGzvI3StcRQxokO1XsxJV
C62vogWC4MiEJnvrmdsYVh6vWWHAplEwaRCQB6WA43y79UNst2NKNkvRu/0+TkfkUGX6yGtKlPkW
L5IppwM5rtUFJzRnZabpY18EGsHHFk3XIXYWNWxsZZHFVubVWYAs3ZaXvFLbp1i1MWiZc62gZgzm
dTOQIJw6MyfIITUIckB+kdrynC5nVTlC3O+pRr7SnGRtjPHK1uYH4q9vgqqmr0XDLcAUQktJcM3V
6skfzFgid6tabUiqTsZNZ2Dc0dv2rY8JCEucZ8PXT/0A/o0tJ+v6desjn+vNHezntHTs8JU76wMR
7lv8Chdhju9+rB8wQXOwDKEDI8qwGoXA+9k82FF28qNU9yw7I50B7LCEmexYotl1g6zW/iWm/y9N
ipu2kd3U2bwrA+tojtFWrZmjJeUuc4eFWYiEeghyhqxYv3aH7LYlpqkvpmmZ5fldng65lynJgS62
nRDKiT4Bj63QRhurXeu7THvo+LGrAwkLj5ahH1K02VpnpdWddeKUX+iLW9Fjfj367BQmENbZJ9YS
t55Zte9Z6B6VnOoZLrpx7A6dm36xdBEsGqpu0Gtvao06CS3yXCOmnzbDLj6K2yZR4AlzRfEmONvJ
DlYzdkO/x4goI4U6FNc2VrdZpz1BJXhprI5rkxBrHc2HrQUBkTmjrClNnlKddmzCnhcDmpWbcKTp
gnSnlPED+Wsb3ZmvRE+WZNKqd9OAoBSXjwU9ThDaDOuUPvrq10XvUajbIZDo58EUZz/QSZ5urRWa
/Mrw7U3sRjs3Eu46CPwDxanv5WSe21LlFQ9g95bGxRIUg0l8BsWPIbHaK3+ynEuhFvvcoGYv5RQU
tuI6NZRj2pI4xPBk3TR4F3wzxAlJM9I2nKxnc8Ag4HKnAfccj+PoQGkPxeNI1QhzgWdNo0GnjKon
AXlLeF23Tpo+hc3kVTu+unXlrQdlf9EXlI0HdRp7yGmnEmkmCZT5omj1gT6qaqnBeTMQyz7QskjN
myq8Y/zXRPOB2le3QTSWNIZTk2sDeU9td5xruWqbxtOo8kWLEWaW9QhyXU3GWU2iM34+z4iNcGeH
c3MkqVvGEemPGokD+4HJqtukz1gzjK38ulvkf2HXYDUHB9GfnRCnY2lcU68ZHV09p5Oh3AWluNMI
E5gLU8CGd/T7FUuRJccqoIzdNsg4NrMPREv62XWNjjfnLmmLfUREQ0JLZp+ScUx0zNOkVjfuSOp1
XtrnWA3IC48ZDxkTwfPxQ5W6z8ao34BKFgdTj3MiCSxCllrjec7cnduoCh1NEdWEPb9YqdR1oUZ4
TXOj38Ypfr8GWxDRJEYm9NtRjTWOEXVNiamTToZGQ6VuKStNjfw59n448V19E5n/IjeJRHXm+ZZG
M4+KSgGu87N6oEVCjJqWR5e4hNLIT808Llzj9q8f5Gd9m4jizwexVAbh4LYcJX9+kMQfa11pmugi
pp2SE2wbEm921w7fFKw/BW05if6ghPzxMDYijSFMgo8d+TR+4AN9IVxOAYKNu/YxFPeK/l9o4d/8
fnQe0qUMiQGBT/z8+xuqcIrCytJLPnChbR3/9a/fpt/9ftgZ3iHeKGmC+/n3B7bsLTWr7MKwOzOv
zD8CrP70/fkFpv32Mfzw/vzy/A0rUWm15f0hCULJvATXrb00cOy+p/Hyr1/Kbx7K5tgtWSBKzk33
l48idQAOqCBKLiLegm63YlFCCxgeyzBpLn/9WPJp/2d68vmx//SxoDb8+LELNcp620rTS0mlScOO
zuOrxT116td//UC/e1E/fv6/vKjcjl2I528PRFlsTpFcuGYdkUtx+V+uNfmkf31RSHqEYLA6Epwl
+bcfrmXdzLWChTe/NPraT1/7cWX6X/765fzucvvhIX693ObGZK+ERH/JndfYfzaU/8XlLBMhEUFh
Gxm+/fwS4io1W0PR8kvMHVAn4Wj6X9y8cIkKS47hNN2Sg8If36RcydnfW2pxme3XwT53OBdE+1/u
Xb/70LmIkXENmW8mDa4/PgaJTHTmOHN2wQyDLQ97uWpe9+A3NEjr/+VK/s1jOYKXoamyKw396efH
Cn3KH0FRcurY2ZOsIukLXNkVVbMb7ebzw/+Hn9O4Pfy55Hl+71+/ch2/Q7+30+7r//0/f3ih+akf
BE/EU64rQ+OiQlH/SfCkgJPAaRA6h0Ys7gDfBU9aeDTLQohHhZeBq1yL36fFLm5n83O4S0a1+vdc
zVRfcRH8587wic+xuJkuN1V0V57FzxeJ30WlbvrRdInyK30CWdB8zt5j696PszYsxKRBa4BtUGB5
40zG21SmimfTfE3mJaHFRCORPwD20STuRRfcu0bFeiPG+ZR27gMM2r0+5B/4ftaVJEgieP60zMqF
01iaR0/tRmjZEZsRBidJoCQze11R4XNjMUASTB4sJrhrnXWSTKcKMRCkrNDMpyS1H4JpfiNPGpkP
7GUAfwFru6rBYSJ2nZB6zm0GKFMUY3D2QWeKoS8XhNEfVIdD00i4ZwZmo9PWE4PdkJ2/68Bw2N/4
uCDzdR4qjx2gDjbNBZT6mUVoPRshN2rb9lcM56B7wHzool5XDpZqHQCIHoGvtH9fmkS1oNmq6XZW
MoaJPlGgZePNFcCQGeuRR8gesxRoqpWrmM/ZnJDDNfg2Y0WR7u0icpewM/BJoy+DrOOlI9ElqIOl
C8xEiti80MGbLKyPnFDMB5K9SEkNqLhmm94FLUlsn3jUaKGT3qvDwEYPq3VFXUfVCsLHYxwdaLFB
LOPAg9RY0kjKYbiPjpz2V0kzbUQ6bueht1YdvtAFnS+bURi999mg5GMeNGymNbiK30t6lVIBhIVP
5GU2mFfieuG44Xf3bZ6/RNgqfRODdVowdW12U9cdxprgPCvOt6TxKqswKamNtfuTKwh3SpDWGJw/
Toa1z0q0zsycXivVrO6NDDtkZtyoJIIM5QD7M27GOPa3kelTXh/5W0wWhRdU+gG2Rl24Cm7CSZmY
JmXOg9Jjs7UqZT242kZEvbOQZd2OP+xm10wWoiipcAlyEmdAroiF2URRSBK3Da+g+Wu9w5pGiylh
2N3DjC6QmtpHofOe+THnHgch3k/ucTk+BxkoVkhJ89g6lLnPT02dZ/z6cIucZ3skD67ysd1nnc3V
HM9PfUs7o1q9tlO0InLyQLn5Uo3KZysa2qWvI9QlgqN3Wqd3nVHfw971i7IzGp5acsBovyolptba
zxU8wILOhlMNRTGHxkbohKfho96ICf93172YTnBD1vHaVvML3rLLWAqX79isHQneIiPHyo9Uv5w1
PVgn+deE4X/H+WLVDP6miAYZUWhQ125OVxGpsI7w+T8DiS6t3TzNHdW9kBWvmU+WlymS1hMNIXop
ICrE6h3NCMViLFI6qWr7jkijAz7J59kJT6k7XusanTsiIaOtcr/6mdhShcFlZFc7VB0uQF9aa8cV
xZN0dRklXyj1jsv4yW6ZDqp+cW4j67px9a/uPFFNq9AH4SNAZY1qSBTWJsksh6CyQsT4FnXHTMb0
akrcm4SgGnkwrnZ+H4oVnUqEC1nu2+i3r0laXflq3Xm+bfrLZhC+l02Vu6pj81A6jXE1686GxOIQ
1kLCYWWufvElLkb3yP1cFEd9Dt5UNAsaJ6ZtJhGzNtHOISTLoinDBjcyghIRNe9Fac+rjhAX4nJK
6Viv3EVJeOOCgmmm+xJr8436OMO5tfBuEdxbGLY3tQThxEAHCmTcCCEHfYboAzNXtqFAiwKjw9Ow
jMOsQw82vu3J/1ny5Qr950v+pX7Ng/ffLPn81Pcln8Ycg/IHln3bMdRPCuz7jFN1/sUiYGqs7g57
QOD3fy/5+r+YYlqM94k/+RZS++8lX/8XwWUW//BrZWz732rAZI75y5pPvaROCK7LCVYDmHd+2YRW
FtnNAwWWYDoqCYNzmtBvRtbiQRkrccjthixBRUzdixGH+8ifnp1Anb3Sjr/ovami/ZiDTWwTo5JV
pQsI87Ii2j+OYnKbrLB4IAzMmugtEE0gp1mQq2Qpa9y09frVSP3onZ5nn56z3JT9UbSv5QiDOffH
ddhFcbWiI0dzPchS8irrmByDyVbchZuQBep3LruEqLSI3qDDFrSr/lCcYOQ7DU1uRj46vMZNxFFR
j2VZg6LH7poMCZS/ibqEsMajjXBdzsWBycVpnodrVZ+PYQ/9ritHo0h3ahDuRsQRz7Rqcj1UxfSK
pu+WGp0zx9KwNqJUrmK+8zel7xzaMmQxC9iGBAgzx7wpak9ThmQ1WRR+1DRSUP7bXca2uSjJSNQD
E6TFhBjMPWJYhQEsBremlsjsSJ/qj0Rvb6NU3ApLzUwEoza/UqpkPulGwqijXAelFT7hZ/Ds1vH8
xs9wMxNFpRc00DVkj4O1ByutcBArO3YLenarWOawLh1WB7sioKCuySOueLklmTUgUOPCn21rqal5
eOkD0tiiMu7oIULqHJXixoI9dcn7asRUY2Ho8kWpqYwilRMJqeveUuGautK4b+gg5xZGOgj3tTWE
asRMOvNGJmMwc3b5bPodfYyqgmK5yImG85qJqfgPX8Wr/w/5STa7YqpzCDXXUGx+kTxiEQ4icanf
00RYrmlg1V7DifdpIIbqD3f0P/c/eXL/8/vfVdplr83/vP/Jn/p+/4PxEIQxwU98Gnx+qeYBYmIW
jPuRO6R06/xx5CHFyeCPqOeBy/jjrvmfIw88LVngpkbGxicB8jcwD4CSX+5/yHmcijldSQaLBMdf
LhMjDHKwpEm9mCkM6RbYT2P/XyWn2E89Q1Zph/Mj3y2A9zbdDIH7qERkQ2ehz1Aj2Lh+ykmGowUJ
BNw+i/ra6gvC8wWFdgw7snGnj81y7ui6U56LIMAVAeYfXNTYDU4FQdKeZWKwsVXE0aRhNE5j6Fd2
92jaHVtRom6eIarIEtSVdm0M7fNcZNuBbdlSN/sr9oX6qqINgD8Xh7kfmfczmzT4OkC6pw+50k3E
Mon3qGw+hln76ijMhIouCT28OreZM8L4jwS6TcpjPRPQP84VJyDLIcDFPefWNB0UI6GrGNB8zGFU
R587GPYw/qX54Fts8BcpsejVJbkV2pJEWGBLn3LOLKzp2iz0LyJ5YpcYNhaAK+SxSWKlJW3pvt3W
S856k+GZCbEeLA66jm4NmMVkUW/dVzUiy3oVjdDItC+EdFnQEoPNtOLIQlEakES5YungXPrZK6OR
/M3uNoEs6GtKIGQDzSS7aEAoqOaY0/q6L2iqoZaiWgDe81ZB6i4a2WgTym6bTLbcZJX1VMz03rCb
HVaG7MIpChLKW+lBGWVTji87cyzZngOdZJAvQ6NOTLVOKDt26D3mGJAY0cmXDTyD2zX7kAyLzSj7
eZgn4FyvZGuPEur+Rk26D002+lRh1XmVbPlRqfvpWz4+AtGqVS+7gNSKe2Uk+4EMYb27sjGoI013
BSfAGYQ6oVR0JDSbcXrl6EGyUj9bhxTOEC6BmxtDdhIlfWNunLB6z2RfkSkXw0p2GNmyzYh3Dn5O
Nhw5tE4vtInWI19gEm5kE1IuO5H0z3ok8sPZScvOpHIixaAge3HRyFqm1lHqwyBbloKhoww+hEoi
hUfflK2VrvjwDFKwzY8IQY8QqZBEGkPfsIqg1gvZ6BS7JUYj4vzfRIaTB28aWUYZHVCcoCxYaqOn
0lVWRMWyLSrOO3qjZINUHWskOs80ma5CwmrEapRtU25v1vFHSh3MlvY47brAEbXEgN0cWn8WMB6c
5Gsx3qWKGoDZpOYi190EJKl6IJ0z8MTsk1nmDsWqCel/6ZtnJage0yLHP+S4rNMZB5A+AymOBb1b
9hQ/qHlxFVdN9DK5zK21MAiZtjskZpXMpGbqfnOQBdOCYyT5rdq5nfUepv0LW5/1EDjkibrKxxC3
JEDm0TO5g3tQpidZ67XRG8Xy0qyWNxH3xFux6xL3o+B7qsg1tM2cO9qZryo13JfkGi/yujjjNf6i
We5jnyrUo9bjVTvXzs6p620xN7fN7N5XoeWvRIvhp+pqwPcpouIqmja6hjpArQnCAhErAytz7YQ3
gajNhR0Q8tmlenUwxfzKYVu2j2nbqAj3ie1fHH04KaNeLSegTL4pgNUQ3AxOo5SYIDCUt9hBArCS
Nt4Ges+o2Oh0RoGusbeIZFgYVkHivpm9uY3JPUt0OUO46qoYlFuEi2ETJ0m0D+AMODoGoPTT4PCU
OJ9PCtFLuK+shV8MwXXGCITjPOzFZ5HWLHx8ifJB29IMVzHVCRvRlNFNSuj90tFgNbjDdJsmtnAM
mqO7KQ11Ws1x6MjoqJQ7jD1tZJn0ym8inRl2ZlAgGVvwCOYH28h5mRjzDijjwtH8QLviEWd6ttIH
oW10it9Xuij9dUKm3Tq0TbFJfZ+QKXj0rWaN5jJG74hCGo99kJmNpsvY2JhnG2Z8a7WByL80JzCQ
DbaMoeQuJUiK3Qw5r9Sse1OWwwRkX6vWRomRW+IM12cVkCqbZ5ShcZvqvgnJ/2x1dCTxP9/qfOtP
zaO2+M12h5/8YbuDesqmhewNznxS0/9+3KOJ0DKwOmP1Z2gpnT3ftzs6SKssJBH/3tL8+7Rn/QvW
VTLeFgObzy7Wv7Xb+R8Kr6uZ9AY6pjzrsYn6ReFtusk0+8RRcCJksZfiwqXZbpGnFtNnieglVFUr
EtpDKLgWbJq8XgJ9A2TfIBE/xELsQUB/nAtiT0gQUJNIYCXhwAhKcIAWJJX+pRTVaer0HccJ51hK
sNCAMPRL/T6AOMwkehi0WEEkjGhCJXJ28Bi1NZ6vi2tXgouDA7ZSx/WjGO2P0bDGdTyUt5lsGqeN
cDUnMxi3glqSudWT0ZXdMlJLsu6VYR0HJdhWoZCLn3QcM+rNkChM4X0dIK+jGWEmInJp+gWcGziN
svRH46VMe2W6ZiV3+jXJagNxg4W0QmCNEiVyrvRMuJgnOKm561LFT9FLZ4UmPRbVpK966bpIpP1C
+jDcPKUrHWdGJ+KvLVYNFlQXyNUxF3p7phdWawobkwfeDjYJYB7YPWzp+1AxgMTSCTK60CKgJ0RL
F/3B8ptmX4n8Deo1rukqCwuxwlZMS6GVGdp1lQQJWyib/qOJ4P8Q4dZm70eurlgi1j7lRvHAglpw
2B2Lo8ijyVNsd5XbKPVBucvT4tyozSYDwkxdez+a/hP7dtTERJ9IeYrXXW6InYqRFcSrmeCNRgBT
C7ZBpLPu8XwenaCN9j3O61XJ20csmq9I6Da7MHu6w9eNxl7a+FlgvYxP6quVABjuI7Cc+pMLUwfn
NGvTtWjoUBNWw15UYmR1KW4DuDJfAmYz0ZEVxJkCE1dBoJmxvQO63iQ9TVkSUeth1Vonu4wuZPao
EYEIzWZkfPIDKG9sdpDM8aMJ9mYXtAuAwWWSh3MB40YAuRJQrgaYqwHnohajvCTpYsnUWZKum8Hs
xp4eCJym2noEwbMki8dHTnNjF7/HLJ19zXNTpsDEsgTDR40F209WcuA+rWYDKWm/tktPmEtvMskB
TpII1BXjNuqGt1xpVllzV3eq6qGBXgeghCXLVF7Oe0DuB+HGA/luYM/AhxF1wdj19VPUJC+Z5BMV
m9VQEos66CLt8iRaS5qxAmt0fbVYiWwA4J2ZrPQXIrsfNUDIolGWBWCk5phveikAvyUyGYSXAYSy
qodjCFKZSrZSaNO6krRlBFjpg1/GWU4HGZsbcoDeeklo6oN/dCWzqQNvpil/DZhzkFTnUGc7SsaP
vYy7k9znOOo6Ew5Y0OQTCwVcmfDbS1g0hJIgq9oKnmNQ0txEhqAO6AP/8xZy9rkBOh3cfgWNvYl1
56UFSs06Q/EKMFXGIXRr6ICJ5dMkOVYtA3IfDOvogLg6akUsnKRe61p/isBgB0LsUsnFFo5xrQPK
2gCzmiRnp7k/mZKlHYFq/ZxNFFlHlJfam8hJHmMtOQaiubdJnMRzIm5aAF2tTE8hOwHKPh+TzLit
JclL4ecXI5NDsfoUgfqOkvkNJnIfYjDgVKsOFVgwF8m+kJxwCDDc+GLdS4K46/qnTKuI6YVG6oGM
C2BjGs8OCjuLRTUoOwMcWYAlt9T/ZGDKAzmULn2xI26WNp2v2x4yys4q+uDrw1hyyToZEQGgz/Tj
vCTE6RqVuWtBoxuj3HOO2VGu/dCDTpsg1Pg6U7au/ro3YaeArBNga1VS1zP4ta/VR1xy+1xy2Q2A
dlgkhwhgewTcJiRD5zjBuK6ohBcDdxt9tM6BvXEcHCLg788l+Z+9iZzU/vXeZF+8VsQJ/mZzwo/+
sDlxVXgsC/PjL1o0mxOTLGuye/DjfCvF+D5+pvCTnYxm6+QTaeZPNclo21TufftlSCh/K1T7G4Pw
0/jZEZJPIlrG0OUg/BcphqS+jMjkqb5MCloiEQOdWgGh5068s2gIv0SGdWIQF54ts96QkGJeVwxu
6FoXN7pv3CR1914gPy/GMQSo7w+hra57MjkSLLVKD4Kbq0cnV5ezxmi7N0bm1/pREIq/0LvsjJd7
7Qf2sQmVdTEp11Yc3ttT/miOref41buDFFCr9KtP+S7pimWIX419ub4znfABatxTDHFNL9C5w/gB
WX8eiUFhtRv5us0bE0mC6qF7E0ZZ4RWt0np4c6P25HPybGv9RQ/STd+2+9y31vjaDr1Rnf0wPLsF
B1oqOoKwPHegjnqBAWbUHul13YaA6+40LZSkuMRqfCYIdUXX9LJq5mUo+mc3aq7CsDsFw+T1yAwG
BCno/rnWOEC5Hw1eBDzUQ4cZoNvPrvNKs++CpsPHOO53SuMu6Vy+CYOZs0W8zErKj8uaKmnqMPwx
utAnQaoNnpDYujebbDtPzU3mtG+5Np4VJz+HfnXsrWxL4PA+q6dtVxExG5QfdlyeacoG0XV3emDc
2KENA0CIb2vnHBXT4ZR0gNXqxF3RT171wrhxS8sLGT4s0s6+dEp7DLRsOQf9ribWFQr7JnbHnSr8
B0M6d119ZVFksaigmX3JzYe+qDx5A4yclMzwocLaMXX+soisV7tnP1pWIyXOJpjuWLIiIkZkw/hG
t4UrK48DUa2+dW/7jVPH2xj78K4t6jq+GPOMRTcGNNc35CJGa5fihmU/ApGDw22Kqktln/xNUrTl
PidZ2WsqdHE1VfUTyGy/7Ccs1enI+NnNocuJpY1vNFXbJBrR2WwLtnHO7J8kfOKGIwYvOU0nnpp3
pBKXNtMRR8ReZw/GFjeSiQVhuo2MqVoyMUTL161kPXdEoxZlhaIVNPdO3WJAttgZxilln84EakRH
t0mBkqtod4rmfykcfQnccZk1c23UyRlT97CU3dFMa96j2ThxPn1U2ETEp7prCYOfDLSrkuGvbgWr
KCuutSJ7IHeeUrq+acGHsUCweGErKI23AH/XQtQ5CaJN1S0bwz0j1MG4j/FXVwES7g2CMfqeAOFE
c96D0n3JJ+2eULB3nj9KUyEazNh6utRLFnWOyeXSzOMQvw72gZ5kozKtcXpElz7M9k42PBjj9NHZ
Yh+7zt4owmg9KngxgvAhmqGxs7Q6T/5QrbMeTUzrFOtUpD4MZkhGHtb4lRb25PMbNOUQPvZEzxjv
cpV9VQqZxDMO0gsQ5Os4GXe+km5i+hk9d+6RaTGnwVFfImG/cUh/Gw3IrnrMuG5ta6tbrNF2mG4D
p1aQlrHElIgAla5t/EJ7anE8yBB50o3MXRR0DenI0dMUQIu4ivEl8qtsaaERU6DxpnT1stGYsY2+
wHDoP+pUr3kTUc6z1gnPgLnXO0UjDaumbLcu70L25EsRk3eKJQ3Q0PefdCREDme+zfWlrytJvrvu
wFc0SiYSEfha1jh4eXr6RyZALXo/kFhJjfIdUXibVTvMLRbPrd8zDr+MGerPNHeISPpuCAWD7v4h
F2LfDv+PvfPajtxIu+yr/C8ALZiAu01vmEzaIlk3WCxDeAQ8Anj6f0dppK5Sd2um19z2lSSqspJM
AojPnLNPgFnLYG2XQhVaDQSU5Yn5OMX92a2SJ2v2iRrIMFuBUl8FYnI2njJu0iGwiAjIn9tEMC2h
i9gUfl0Mj0mSV7t26uJkbUhCikYELWsD3uVR9IxbipHgETMw9njxmAVXdbqqupJUusFGojTf19oV
7FuquE/lmK7/W4tQBiASY6Tx72uRJ1LHqdL/uQ7RL/uzDrFZ73hQBlA722Q9/SyDc37zSHv9MepA
zvbHhARjO9zc0Pct1JgOE0SGJ/9YCPF1k6EG/nkUdJDn/oMRiW/yff0qgoORHQYaVsc/dPDsryI4
mg/lNU1X3lVWLcSl+xFzMA+pSeYBywkCEJQakQxxCX5tRuIBJHmL4EseCVImadT/MtMwbOshJgqi
3DV1WjEeJ35vEP6t2VsNFyiHgqw5lyIZjhDj52Rn194ACz2+JceHiGsIlOssktdu7r8ZXq6JFdM3
URtym8huPWBMoFdJz0os1C6ExRp1c9ea0t3IxFm420h4ZNRdMJpueVIht2mHVtvmdkuZI+eygy+G
snYJ5DkevPHB93sCmfJmled6rdVMb8SUPheEAa2z3Hp03P41ZqS0B9AW7NHhe9cY2idULfBwbKna
rTXH7z67hD2KJG7csL1nmnmVglSqZLEf6ZWbFev8e2Wbp9J0v4uewMAWNjwBicKe83WLzUYF9hng
HH86PJRm+wpM7yiVtl7m8avsvNcw++JMWCyE87ULw6+t3V3bJX1xpfqai6Dc2I65bALXuzP4ZmkX
p0OZwDTLeoOxgYHscM7TR4a4t0Nt3C5OE2njBHJYmyWLi6/vmFnAA1wL89ZkijsdGXFu9I7INchE
j0nLzBIv3rN88nZNTJvXDCYhX+qZ1LOTPTUtxt/+FMgxg5JWXutZhOs5b3DK1ZW9n/tpH+C93rTp
kGCnLIJ97ictZjukE94YIcMebJPSgP/rzzbd6/QpCny8lcOdZw5Xk+zItWGEzb4F6oWzAvRenh9t
l8EPMZzEoEwLOgezPZaG27LfI9ebGy1aT4yP0JXeEkFi8yfbL5nRPnD+3E2xeYwzH2+xne3BpBFk
RdaTpSqkl95zz4DfLONPney/A0421vkCw8UdSHMamzDZBcPyWmUMGWIb1ptfvxgDy62im56NkJKD
lxbbpTCarTPmj7NhMzOyUX1alvwoOzwCqawvYg6vueAc72dlrwI5kWw6TlsVKHklRDXmXmkDhh0p
syat6+yHgYFUq977iLRY5vjRxmmZlTl59jIA4CrSZ6e3Cq7A1N9yr22EGNE79WBzwJpUK7aP9UFZ
doSwHgNlPV0EZshNmTHZhz9xP49Zsp2rZtn4dnmbVnaFSFR5qDGcdk1Snk6seM8Rxuhr7VFgX50/
crMpAai0D6Drts6s8FQTRBEwb6PH+aCnytg2io92Md/CLgSnVtzWwP9sz/JXWESTrTdTq81l85AM
3XshWCASXBLI5SQwqq1bS5kw76kS0ZmxjZk/7K79HBvDeZL9fVEbFwz9JG1V/WbJ1cUJR7W2TFZ2
jCPhNg25tqol4Af7/qM2iKcu1GQDlfPfU1izqJHNVSeNHLaxonOaAu/Us+xgrWcEeNrEK09dwENz
i9ew8L72rOxXdITphgfyGXeYIpdoGHbJMp56xqtktcUPXqLesxS/GwgEphJNVxB5TCR9J5qDB/ia
uhxGU6Iee5e1p8LSVCi89hTGTHoqt+Wmk9wSgQdQLs22UkW3UpMYxRAp5MbxIxtm0njCxzAiZ0wR
FOxVIaa6uXiI6vo2jq1mF/dB8UppkDKCHG8M07fJPtQ3tpu9kA9OxNI45Tseq3RWdvJFVYBABkEo
6lSdeKA/zEKOh4aGlNpquGcBaa8A/tEQBcE+MVMQJJ0jGIuAPw+qUxJ5Yp03Bc3jeJ+6AOHsjD0w
psuVDxV5S1ogrx3HRxeC42Gphi8d/vlVWLfoCio7QQDbGGsQKB8YHzkvkjbdByHZ37P84jnc200B
hkqUGpCpkC/h5qluTXZnq1Y2r1ZQRus+oI8tZ0TFWJthLdFro8+0925dmcQ5m/2OAI4vUO5e4AeK
9RSRx9bHpAzzK19x3EGMcBwEnMqMdyDL+EzxLh8ZYB5CvGOrmQKem8YFdSXGZ/I67ifORJhDlMGp
20GC9N2YKdrM5RZojljG15j5pje1sdA/iOwyG45c0WGSc2hOE00rbWM/7+kFvrnSvWNo/11Z/HWd
yF7Bu8ApbalDvaG6gdPRsLFYLpz/akWm9cG0rGNf1OSvzPawzeG4vDZFVhw7LTK3ufHZmr0YdDF9
2n+bmoKIwOyZw948px5FH+f/sUvjq582T0zKDljIJpLzRkJlBoklX4AGc0m/rWh15SgocVudl+77
X1MljQ1RkvG6kTWRvzJ4sKKy2bqYhvHLq2pb12ChAAhGR7Od3z2Di6FPRnuX5wH0PxboQWSc0jh+
bzN/E+eswFVW0ylKXu/Xd6QZWyyfzXhrWO5XAAxiRyv1Jkw6gqzx7szB+yTRnUW1FmXHzkdmQrJx
RmaJtt0m20BVQAH8AoGE12ktM2wdyPYQPdMZhe9ivXndeBsKohOXml9sa/DUTmYEJZnPEMMzsnez
si/U9QlpWFG2bsb6nI7oTmkg9jNG+vXgYEEezPyQxUSxw6nkvOtt4hxtnd2btcXWCwPCSUiPxOnZ
7kbLMcEhjuNGkk4jcxDUs+G9lCgJV9hV3XXZGE9JOz23YShXVRqu5VTckInmkmQZAE7sJPt7kTz2
yIC3UdEfB1oiQjvCZ1ENRD+yRHG6HpZdbdCKetxPztjvVGwUGzuvjgaVEzdkZq4nG44FlDgwudz2
bcIRkh0az5yQ46ffJ1TsRu19eKbxZGDLhQMGJSQPc9R0JXTewv46zu055CTHD+x+7dB1YBVgGxNb
JxKUEYwvhEkoL3+Jy5J2SbX2Ohi8dWaUuzj6giX1hsKA3bow5MoaslOtx0L1kCFSS5mlNi3/L8jf
YsMlKGXKniwCSFfwKx78MkQSwrxVhNOLouZi8rQg9SZyZtv0EJFmd0DBkjf8OIIRUzC1BHZLgbRa
3gXBLFe5T8wQ990Hjk006KDFtnHu7MxxeK1Hbt2kte5BSbb4gpyL46W9HrqDdcrrRy/ld+T6lkN5
qXhOt9VFiZbOy0PVHfRfMwJS18zuXxpF9lk5mM8Am05qLp5sgeVh6nik+uaXcWSrE0zEvUEqmTay
GG7qrt1VJkJIc2ZSENam5KrNvod6ZjPC7axV9X0pW2ZTSB3idjniJ31NGUb1fvZcjzgCOqo8P+fR
lzRcmUmIYkIWKd/k4O9N1X54CSWdLxWQXGq+MUOuWGSvA7lrEcIA+sf3KMi/ZP1wFaI5sZayNnGp
sHkj1EfrcCBDCF6dtVUuktKokY+qQy0psJ25xqaB3N+z/Zph7EPHTbYJSi3GGTetkkfMNDrTaqTX
zKx53cS+nd8X1eK9zsydgtvGYBN7j5GtHjdz4K0Hlwy1//agP3pQner473tQvau/GdLuf65fCGP/
Vwv7n/XZ4W/s6vFQhYhE6Stp935a2DsCXxz6MZM0GpM1/x8zcVhTIa+hTXQC5DXhT+2o+A0IFS+j
skNSqD1e/0E7qpvNX0fiAKjcIBQIyAGl63jMny2CLUdWR2McX3GprzqbsLr/W7CP8H5teLXJNXB0
o0uyBuZAfqhf36O0pBnWxaxuwcgcq2QIdzQXWbvzS3VRDiIkGMlzt2eGAiXBqFl8WzS0jzasKBJ0
gV1f/NYPu2MVR81laI2gwWHCiX3xPIPkJoHoIAYlZbGqxzmxlfVk1oc8IX4OG7q5V6pZ9hyo9nay
PGvPjIdpq5yyveOxVqtG7y7zK52VUxIcKON2nxoxtMS4lZmxr0qswI9VuyQfZdaPO+d3I3uAcm0b
/m5wDwv+a0svj2gg+eGCB07NBpOZb3PfI9UBHLfsFk7blaGSV6e2zolKWvbaVB88/I/O2OyRJtxM
g0e73Bu3QzJ+cnPnqQm7xxY8SVyNnzy3rFaB1/CgTcUND/JtLJobMDAoyOMcatCQbmLlnSfdnZhl
sBpjifWI2t5kbrnI+cR6863OMhA5hQ9dSjbXNvWyA7NmmiLzS+LlMyxhiOciguMZFBYKMkkuWRhu
Zxb0qz6kl42FU6LVVu4eUetybub6PEbGXpU5ebZpvC8Lt91AVKXWrLfNlF7KyXW2kQNWigXDflna
Y9SmD4nbMMus3GpDMh9Ddp0pDWe96lRLZlf5KNv+nDhIjaj3vK/zmDOTpV9dm7a3UzWXqrLSrRA9
kqqgIo0qOqq6uUwCkJlFNhyoC6CqAd0wOSTuoys4nxwl4AdR/lPchuhHI4FtaO4vjTdSGYfAinK4
L7Iwvwtv+IYePtgjGijPTkjsxCrJ3fS+rhgCWEqkLhgUlo6+ZZzCPLP2XWB+pdA6Lp5x21v+c58Y
+4KafRVgEYrygIrGusEYdj9WuHAydKxttO0AK5TelB8AFu2DqbdJ0OSDdyv/0Jnji6VdTLUbb4Ck
f1688SJNYDJpq05uYd4t/KWjxU4a79IiLESnxrvdWd8NQx2lWG6cyDiE/icVfZbBcoKaEuxcwlNb
332mROPwU19GJupDH/SIJfIb157v4ojTy7FzhG55+Iab6s1BOrRpJ+smFFW8nsQVAiIJn8k6WdDW
uUuzI9b6KVDds8jHrYphHLkJkMVRM0BTFkflCFVL5kf2gpgbRutTbSRPQVA+G7VOQJ92el9j++rU
hMZJKTJe0cmdmizcFx4VJpLKjSMtFBWD6B/ElJ34+c5uZn5m4oyC2SmQe0gkJbZTQ24VKj8oo7Tf
JBCS1y6QKU31PEfMHaL8QUU+YaGqsFDdRsRjpn2yaQxNIyJsFw4sqKzGNszNxG1xM9ZuejuIBZ1Q
0Y4RMzEGaNxhKCDByYZ6LdFEwZfFgwKSuN4ngwn5duw8Vmo1hs2iHtEPhx0XMz3POA/FeQ50cr3t
PvQmmUlOMzWbeKwD5hXZGU7NY1nnYKgmSepC3WGKCwVNCmgyRm3NwAzBV5Q5Adu1S1SjvlEL0+bc
k18ESTt4DeeEWw6tj3CfzLjO+RxnIMJzfJPBIieEMrqHDfJlUCFzPyyeGU5bUmYfNaDYcerP3ZDj
EckOY9Z/+O10Ldwlo6QkUA5X4Jud0YF7/mfWlnRfnb0SFjOJaMqoELsKISMylS5yN/OcAn73t1lj
fyu9XrH3QoFYjW8jYmRX9JDb0uFz1xOD0PJrzqedHfkvVtV9cgcWoZYsiUbIHlUx31ThdOgb1EfG
lL3EyXxMJ25RpS5jVO7jkmhIs/Ae+n65up33phL3VmZiHYjxZVpazL5wUHywiqNgw6ZMMA4CMZKX
f6YOJ38h85hHEaSqCmrZPkiPcaeorhwSszLXe8RtwidYoJaKK/8Jp+qpd+CBkhf4xknA1lDiWcLD
zFKiP8gsfnEp41aILw5u6Wx53KCdZVRS8dOXiX8DlO/Q5vHJ6t23kGosgmBfB/nVgXmKhGPV4awh
kTx/NwJjQ0b8YYAWtyKW993s8xOf9Sal8cMZHTKyme87yth1JmAvm8ahdb3PEYKJkRJV9ONjBOMP
ed6y6xCTr8o0uTOF+ohMnDUEn382RYZiYkkvoVvsm6h5KqsehWklD2Q4NwdiQzXzy0Fob8NpSz97
kTybLQ2Ybct+V5UmvaMQ0x1Kw2QVANyjN25fKzOJd4YZXE1Ezah2m+bcWX6sZzDlDjX/17SgTif3
zHidao/rZdGMC3SrK0ekxTdSpn0GXmXiIS6zLxOE69+FG/8WH/IvkBSCULQfk38ikP4ajmflrlWW
VWTcZhnAr095+EW4+59KwP8XO1AY/vIWfxnrz1zFXj7wFmbDlJQtcn1V2d3fv4emdPyjWvuBC+E9
PBNzCiMJVytKf67WbPJbyilkrsCQj4fjdekBJD0REf33b6MBHX99G21bERpMgWH/LyLOWGaz4+dj
fB3QUDXsPjsgYUbzPIi7ieGB17F8c//bSvyOZ3D4dP++lbi8Y7v954WWfuFPCy2T5C7Ydbry/+Hk
/LOJsKE34DJwgTLD+vi5ifB/gyRECoDneqapUc7/2Gn5v1mmj22N64iIAJPIpP+fJoKgARt9sWv7
qI/hxv56WXbDNDSlN0+sEO5aMoJnBk8/fSj/4ub6yxXp0pR5Prodl59Qhzz9pYXAp5A7gz8MV2Z3
PNg/GeY1hHsnDlbEJYmydPv372f/xbaqk09/fUf9Hf0EsbFRZaY8pQbgUqDqSYGHczB30iZBJpbd
/dTK4DT2bn3r5WSqdN7OyzAONZGKXEJjes7AuPI+Kzu0j56Dym5uoLFanSSpJEhuXIl3KrDzdd2a
pOTkH6EyXnX0mLTIlfUlsTlZ3OrQHcwjjp2gUeUJSupOGgP19PYd6dI71/UdLJqp3EezqtYp+Skr
v6UwqzChrCI7fTSmgOlP+hAgVoINLld+yqy6ifgtZbAQI+J2Gpz/Yoat4U33EQxgqgLnIKV1NxKq
YgfesTJRD+dZfJYEGw2O8dzialmN1edxce6UnxxGf+m2Vt/t0x4zUB2cktRVq8ST045mrttHyXyR
ELQf/d4MkSi4c1c9SgwiB6+p1xkIRyZkidHfMy7kC0PJcONaxOKmp52E0r+4hDJwSNHzNWgDgxvP
wwkiyhvEvkeVTxiLI0id+e28eC9WwRyrYYsFuc/ZtSR4w0X/VuBp2k6uuKhanEg+2ox5fdNHExnB
83F20juT/Koq4pxV8800q5shaOWmX0pzHbvTuRvNF6K8aTgQdJfV8uwyJF9F5ZzfpkN1V+X9Hg7j
bb7kJ5PMi5WqPfipPc6xRjFfw+FMSA1QnC7zn4F9Ivc1GILbZQ0FZJh6LBs2NsC0mW+KWcJ+YE9Z
lKhVpqtIgodugCJgJQWE4qTdWfARoyK9GyrjcRqJ9EGpuZLa1ZGGK7/sv/kJyknLy+5tGI7hULL2
VRbsVW8DfPC+HySPc+aQ3iT2UzvuTHDqPUdyaZkbKeXjUom7Mmqa9aTQBPdFPj6oOXnwIuvYQiAJ
6uAVhvpa+W4L79FAyJ+2HxW6d6AD+FFYhC5QU9jL0yKN380pPldsWBthweHzQ2i6kKcdJ6XRn6Ap
xHckF1yEy1TRLYF+uNvCr9aDis5dJ6ltkHwuvQad3sJp29hoUblt72eU4Cw/EDA5Ito1ofNJtB0E
S5Z+TY5Innzs+ZBPbnFsiwpYILxYZzZOebc8dfWUwCfqEQXJx2zEWZdxog1RFsKdtd/DIXvP/OAi
GfYzNofoh3Z3xls2lWs3GoPDj8fMf/Wkesr1N4de+r1t3//5xNOv+vPEw9YLFR2JBLv030Whf554
1m+cZuhFHZL9kHfwaP5jbBb+5uP3gOuOcs5xfhmbERIIy0s7tn2Hysb6j5IAbf2t/VQj6ZPIt5FA
+ug3CBckD+HX82FxkjKxZWpemd9hSS0XZlfWZxl/A3OywDhatRBO4MsOkBtD+2aq+XpL3JwHD2XA
Wk/j+FDASYGZwxjCUPsuT14rstsbiCpOFVxqjVjp/DdL03sK2CsLDJbepYeNEUEQGTsQFFc9ZRrY
MoRmsW5Aw24ATL5FUF0IfDi7eMoIa3tfIH9b0F8YljM5gweTuNWWPstn454eOs7uVQY7xor9w4Sp
HkVXrx/sb0jvnxdoMyHUGeFx8uVwaIypQrE/fMrxkawEpJo2NHYL5Jo05MnHT7avQ4hHUwjDMu1Z
FjL+JoBnOvYpoytjRlSAZ9SHjdN2iFxmaDnNZCsYJLN/XDRKBwzzOTMLWpzJOECfZh9MPuJhMJjO
CHW0fxB5vIepHh7mvmyfC5g9hYb3eE1wiqH5IKQ5s7Ar17WpLgBiXZSJvrF1YQD1o5GBCRjOAjqQ
F+KwbOAFzdY3BkOfYyhCc+Cye9FgoSWYPucmqKGicS7QMr87Po9NCvNnUn6wJpoAigweP71GFpEL
6W1NNR8yaEZBMG1rFpNDx2cWa+DR9Dv8CJA5JCSyKwBhRH4m973LUcmAJJ0Z4tRmf5QB9P/eD2GQ
2j19fSPN1t/aP4zK3Q/TcjE20zHrXbvfeD9szeqHxbm0ZbuZC5Fs4oSHNwsE7AoNGZM4pCttlTa0
adohSVB3cvzbxKADZ7WnLdZh3nwga/FWM6OBWduwfW3Ijt38wV9q4hAd/9ZIWNn2QPZxuBNEZySv
Bb7uKsDgParxEXkmBmpt/kbq/y3DDW7P6vvS8/Ac8YnHhFav0F1dTG0hzxk0t9pUTtyesxX4zNUP
w3mYH0TSvgW52+9wqxRwA4O3WW/+asEAErPhN85GbSebtKChDzeVNrib2upexMZt/FaM7MriE1zT
bwJbvIs93mZy5ebL2auqfSbrezJ+6PQx1NcirVceFnsmdZhFKU1i03uJ8JLtXb4SWNNLvDT3KTb9
WRjdzdS9Va6LNHk25NlAjZRu+KuUZiNtDAqYleehxTWSDpiIwlahQ0uYRT4Ms4yPeZKcF6+6RR95
UlX94YUCTwiSTXOHxrz9+t9z5cdeRtDx/s25krx3/b86V3jVn+cKQj8cj2S42i5B3xqD9+e54vxm
ak4DEcDAPwON5vkDF2H9hu6ENBzIBIKWSjdZ/0cdCEkC15LDwhn/gvhPPQruj3PjH723Plfg8gQ+
QdYulgj6ql/PFTJyTKcumuLOLHxEDwJpriWmT+wH4n3fGNc6obbvGODkBU/NdiY1Z8auHCyouMmn
/C4HPdsJnyjSoCJbTaD90vWqIzUC4fUhKIad10dbnNOHaeKfQLFXE8MZDtu3zu3XoMAQGTIM61Tz
nvioKvrhu88tM6F67w14UrNVXxolvnrsVuKZVEOnk0RhpuVwyOr2wI793DFqBpy3W+BeG04LN8sd
QUTLZ59mbbKTgWm+SPfoxd4L7gB2U6/YCdydH0UDe5MS0QY0Lx62TLeF152wSIy7IKpBUjHWdrJt
nmSPYPbqNQavaTvW6r7CPrnqgno3eZrpxTd3JvnIXvMYXzZGhejFIDMydIpv0BHq/Wyz4k5ZULNh
iJ7aQn4U9aA2ZjUZaHizSy6gBKWxnQMXqIt1Uvvu2ldyRvEYbDnGOEN7lhdT8dy7rXEqoUcDYr5P
WpYPVRCerBHzhu/2l7Cyn5pk2Nu9uqdDM7aDnikzxkE0HMAp0DsOu7onsqxciSB8yzLrYe7QEzBk
JFuLFE3yT5ynpUzfcmD3U4FtFG8Y08aU3Aicb1ljflBEeAeoZbjD0mHeAsOIKa4dAmOSlyTj+49n
GEYLIVxrDwD14DFlritH4APE0pLleDGKzYRYR6RdCuza8tZQ2lepqTrOhLBayYoovrl8UK1QaxnU
lPkOPOoYtUlTAZXrZ3CBEy7xNema4cYqc7Ev5XCVMmCsG/F77xDWWSjAzLJ+s4b0ps/SmzYFKm7E
Frsa5DikxwJACDtiZEoDAVXW1/vIkbcVdPUmdf1jYaCsibv01szkG3mC6a4pWMOQCLJRKBY9ao7V
pDUAVoG0yjLvbLtb1+5ENrIVndt4OIKqfh6McS+7Ch+Z3GH6hdJWph0SkDHcCm8i1KBIiMo0x1et
2OhGnD2Z2k9pPTPIRm5aefJqzvxUs38naZ6Rb4yPQV7seoIZltt+vERGupvN8Bir6mq51Z09RgfG
6VdUnRhedJyPTgUYQAvTiy0be4H75EHS5gJNI/QxnD0NTays+Eur0q3XAbUXg33aqNIcPzi68o0q
HcoC3cs4efdFoWifZIDxRQ1HaTTEO0Ou2luVe0wsZtALZsgWn5yDbgMh254lSrx1FdJNcBzTLjQC
WmVWNrFKIFdGeYZZQXwbQODuhiT/Jp3xtVmGr4s/IZbr8A/GznQ3Dxnde+phBei9fsvjaHTWjPHh
q4M87888ezTqpcbwoxrcIVXZH92K9m/nsEtxn0cz11I30bK8EthE4qmpYC/4ql22wYAgcRtUhkDh
M9pOcMAmNhOF4rhLeouCeh4eQ7O0+scpbA3nPKhBnicXk/Bruwh7vOZ9fZBaElhn9N1SywRTLRhs
IEtYKAg7LSXsc3USCHx2rZYZBoZ3dsnD27js8OFQeF8bwCy08R5WRnSKuQG1JiGqb2WZi3dytJwx
ryhu+eMwtlz5uY7EO95pe9MHiPOcpfnAJTOuHZzUACoQS5paNtn2rUK1qy5z3W1UGma7HI2lqNp7
IxrOZSA/j+mED9WhA9c6SUvLM2uCLjtHndiDuObElsSv31MyEVDOEG1rA55wtNyz76dH085uI3Sg
Rja/FYn9sVgIRLvY/cjHEo9EujGWE7UZIbUuu0lkpTngnZWZEF2tCKw4F4l/MfPC3IRIUSckqckP
bapWqTb4LldcjLeer8Ox3TDemoha0T3Ymwn5HOOT4bKYM7MmpQWDWX3wK7jzHavLPRmKPNsBKvpa
O7tA7mIRazz1+WZx4xdbq2wDkSGZMYj3DPJw4s0xlOiUYWcJcfgozT3F4raetHq3VPW09RH01kGP
sjfA4hNb/jWdqstQ+LDA6ugasg7uyu4QD/27F07zFtLM46wlw4sWD0daRozx9znSwuKBxkYW8pQZ
Od8j2uNBi5C56wTXwIIwWUuUW7TKSMOfeUDvzLq4ycukpxVzDg7qZvZEeyNF7jyie24m527EmBW6
8kuqhdEWCmlhsm3VkmmSwCMchla7dtFTx8bIkaAl1rYbZuyac9Q/dEpjXK2zwG72nZtO61R01xyt
NpXIrrL7T2OJFykHXyu0rHsehNrmWuptWkGzCXMyG6DKIPXWknAvH/ckTVh7tGvBsecDXXdJcTVr
LaJEUz5UVbtqvPDkozYvMJyz8ucQ1EJ0I13ivTFZRGKE3nqefBxr3Gnn2LLvPC1lNzoskX1lkuuq
he4j/BE2s1r87jtHIdK7ZMgY2Eo2RBXTMB5yPOBQVS2lzS3hBnd2OyKrtzANeSjtKxm/QJK/dpX/
dUGJrzxzVyPOlzkifYB0mx7ZflTWr6YMDo5oHyfGZU5msLlG528WydlG+B9TxQ++/T3Ml1OMMQCe
JZaj3nystGegMlxcesR4/bfs/r3sZqL/N2X3e9W//8+6eP+XMx1e+lPtzbPAgjXiYhP+Mbj5s/a2
f4NOIuDFUwD/Hlj8x0xHe4CF53AliB+IN7ZRfzhzPKRQCKcIgWDsBwTzP5NCWXpm80vtjdQK6ATQ
N5dan+Lp19rbt2KrKFpXXu2AM5mKTVOjtY1NPyFtFVvHKcp3BcCKqqzsGkdl8lYCs0DlsAvwwvP4
uPWH5kg65HUx4B/hFkXj7subQpMxmJR+mkFlBOgQN0GHPCIw+u0450+/x9z0CyZDTdmQmX+vYpCu
q3bJanNLdArJH0wmkBkR8rrotFcsu+M+iRKQvS53VWX2BHIRD7tkLR6ImAECk4QlkggkdJbs4JEq
ywwADjPhJfMMhYlIb3eT6BTacTSfRx1LS+D9ZJNT2yPfXXs/smsJsSXcDj+JzrVtdMIt2KMfzkSm
XlX2NUxxjs46EXcoUQsUhOQyQo6Ohc7NRd6+lZVh7hlDFGfXNaYbYvjAlBAsvBZt9pw2JZv0goOa
jcRVQlvSUbyraUHW7w14wRoqyrx59lCo1Q3QD8r9G6HAYPOA0Y7CathURlFTHpnNOmz5TPNmuNQ1
tUk+y2K3jMa+bt2TW9mfymx8CAE0aeGCC5jFOvhOQz+Tp99QEF/iarld7HLE7iqoz7L2tegBjGi9
NgzQmyEJMFrg6lrH+bA2FtWjNCajGaG9w/QqczaF7TGZ8e7zaKYum7qJ2i7eNqjqd5MhvzY2aTu4
bmEeA35rjL00y5uyTK9smc6Og2qhFN0ZxxfpPkN316RevwpyPhoT/chWsM3vGGV02bBvmEj5boKv
O5QG+ulMUuFWG+qIfZsZd7mS3QW3Vb9yWxQwQ+A9sBm/oMHT6WPYN0Qp/DXC5Rqz9wI6U/Qd4UYm
MQd0hF3cPamQdIgxqy6xiD7PzTjvCoxZMUrBjdubn0TTfM6cxiepgnlR03uM+uL7GJ2QpbRtWuHp
Db+13gQuZ+z4DDvvGDeptcJSf9MP3TWVXWPcS+kXy/dZFfnBL0uOrPoThLoG4t947rQRuEIcfMr6
8E3m5gN91regntctBUW9xDvWa5u6m0gcZ5Ro2mdZJLeplCeVdbeVLO7GCmlP09F6FdEwHb3I/UCe
NbBYmxyxT4fIH6nKxgWjzHKJGxZVFrreXayXV5Pj8b5ij9V3P+n1FrBtMHDOXeu+dXr9VQ7hc8Xi
pWAv1totu7TePU5szOJ6uRsWG7c0vlU00/c87PC2Em1nI7lGIcfVx/4NNfkNUwUmouivaNkfGAis
ozl+XGpFC6KXeIle59ltz41S+tU+jC2KdL32c9j/QTyND41eCdp6OSj1mtAYuHLI1iSHWS8RS7aJ
AVtFX1Qfki1jqdeNEGc/LVV841p0vkqvJF29nDTbyF/5Wf0lGAzgKnlyIaOIx4Rp3pWShhN+uHWF
NfbdWZB1m8v0fegMsr499cD0sT461fgZ8c6uEebrnPqXoGh2oZa0lyxAEeV0AsJZ/FIpMLH5xEom
mLH44rSr27swJa0c/s+it1JuE91mkLY3qZcfJHmjJ99wnwOs9LwzpXQoniwT00niSnh1jVWDAsrU
tjHsi+I2uPNl+MB+8aAKkcIMGoHnkVBk15m1SiW4bNfvN/ysaH5yPCohEaZJw+S4J1CYxq/YYg/5
iMOvKTP4rncecj6T/2XvPJYbWbZz/So7NC9GeTOQIgRPb9uwJxUgiV3e+3r6+yXNbhp06/QBB7gR
hxpI2mwWgETmymV+wz2Aw56HEXod2xdJrS5krN0IYZE+gdBcTtqxC6ZdGy5pvFLshDGD4lp6CHgc
WPtiZhioABvemY+cC2yToD3WJYUGvKcMK0Ptr/oUuZgkp3ObBQpdhHTlYGDFsS29wx5jTleaRTY6
9YCB6QdYPxAvCvB0pV3Zw1b29H4h+cW1GrhLE0VydBzMBml/QF+OV91Hqo8BQKUtSwMP47YoTpke
UAuq+XVj9Cc6/ISppBXLhvzPiPIz8GfxYa502KT2VzIcTCxlByA81nFWOCtJkbobfxyaRdeom8iB
To9L+CUYpxAqHkD1/+RTT/kUXb3/M58qm3HLiIy/fJVOGehLGkh1kwHZDpnWq3RKo4UItpyepW1a
/NXPdIqpvYASPbt70+V8lU7RgFRF91HGK+rPQCGq8RZ0xZMwhMHyEi1xhmXirbxNpxxXypCqtjEt
RH5ioQz4GpZwXOAGpt+CUrPngMAVsEVlxB1vgQ816sPCUP5uuRgnWZJ0RzjLaSjhUhDWcrPyMroW
rAeUTGAUWdogGkYZF1rhXeeWKKgJf0Z4FUIXAc9GS7g3SvngXPhF8sUobSqcThvY5jhVRsh4eHVG
m+sb5oQ3XMPpuSUExTIhLdYIkTEZjPFRgu6YqyN6GjnOJbdxP4Hcv0HxrVl4CG/fpJwKQDvHYd4P
Cxl2llT1VyQq5704SJSaZy0nC6j20hBHreXMJVZ5jbMCSIghO63EsfRqbRlhAIZ/QHUP14NWree1
c0scZ41zjbnHte4MC18ceAYHk6osg8OWWKAoEIe7vjtrhaOdPXoQSEXs6JG0FdGkjxp/FpfRzDHG
K/cx4ojYY4koFAe0yhICk5MHR46IVDSh5iOhKxQxLBDRjJC07ER8K0Skk0TMw4crmDTIcTeEQ03E
RRixU5rVYEEJmaiGXGXVg0ogtXhcIyJrIGKsr1Rrv0n1aSXir04gDkVEBrirTIChTTIRrZlgYSJM
ALcJ5PABsosiUeg2E+NlEe0DEfdBNanLUVVvdHEnRK0zs7kksDpyjsiFkIzh/jC5SGRxo9hk7BhM
HsMyvui4cuoYiUyuoEzcRYoRfHPE7ZSKe8oVN5bD1TVyhQ3F8B2dkQUpwg9d3HGJ1l6RzDBK5frj
lXu0YONNK27GVNyRhTJchOLWdLk+HXGPtlp5h9s2bZlSUVHZAA/k04SeF1bjGLCAK8Zz48IQ+CHk
KOCVtpJ1lAt0Uf8INLIeQUdaXkgTuBUkP3Z31Boa/D6Ldl2/qjV3MRhaN9Pc8tbR4dPpQwo8KOcl
UDLJm2hVdjCnGoMltj0X4zR//KLlmTKBE99Ntdy6tgvzuFaGTewX0QyY5FXs+t6xOba0SHDngDWr
OPBnIxNkOo4nD+GYO0jTWA+9RSMADhtDthbnskypLmuoYBzEUxeQzgwQcQ4ri6Q2QGuniOArZKNw
yLARTOwH/qJv4eJ13rAIFZfuu3sRY/k505NaRlqlyaZmw8QSkYHjQk3l+SibBY0cevn4cFtuetSF
ajULXPU2RP+W2Vtdn/i6JJ9qXWlsZNmNbjJZz1dxawNaVmIfYOp/bqen24lA/ZvbCaU/xBeaLXcT
f/fqbtJhAuEggeo52ERumX/uJu3Awo6Bi+ERoiGoVi9jNhXMh8P0jekMd5qic6P9HLNBCha6GXRT
RfPA+hPAomIxsHtb6utcmOBEZJB/mGOYXJCv4X0KFVYTlWZ20Zcy7bQWCq4OCZsxfLfyLfqO7YCX
TyN3ADwEq1eOE0ZIJg6zh7EgAweJW51y/5IAaVpxHdImXBl9U511kZs/5DUgdUuQk/3YGgijeGBM
cwBd3GaMfC6qMqnPizDUbyXZrBeKqxr4K7gKfr2pm55FXu482BIk8T42zj0Fmonq+d1ytM3kCzxs
gzk3l0inGs1pXfkWcmFpVkysRooWijFkX7VGBi2mVeomM5r4uyHH6coz0NtKc7dat5ojz33ZxgOo
dLqlFXb4APttftkJpjxiixRBXj5rEWdEwlHC6PMeR2tfP1aghQ/9AkJHs4Se0kgb3XNC/wzhwKZg
YFWl5bnlMxyyPKX3r/3QoafbNRAkR1qOVncG5RwavOzp3GTIYcPSSCdxm3eg3pkZBMemlDIcC5p4
uAtbtUD8FClUB1DlrdnF2nqQLCODRGWmC7JccBsNclR1l41r0dChcYIlKALhgDcCT3FgMLfeHTsp
mMrpOK7dyh83ZtB/L6VikXrBkWRxmSQKE4zOQLZByjv4wrbSDMsIsgYNzno4ibIe/afaibj4kwwi
UNB5waJKao1uSIu3GB3Yb7oVcNc7yheNduwqlwCA+3LXTgy7rBGjr8xr28+Tw1rC6AzdWvOsd1B4
ALLhyFQXBhT/Sk6YNcXOnWR10pEW1xbU1OQ8tBVpVtYtgkgSicW8i4uinuEYj8iZlOFvlbsp4vl2
xVRgNH94dDlnowN1tWeIc2KFkOIrxkG3imtl024ULI1ozG7HppeO2bwIN1lpdw7S1P2OTWD3JRXc
6ibrQY5if3vhC1Z2inhwPEsRuqggKmAl0qKuXzMeNqqZhywdRGd0zFZqS7PVpKSOUdzsO+2SdA8X
XjkzlU0umOyFwOs5dHIniDQZ/4nFT+hxHXzCb2JxFq/TLdBx8VevIjHuuIoCflp+D6RDJgnEg4Ye
o4aZiSggXqoE+0Bg7phpAF/TUHSkFfpSJdgHOGlYApynI0iggYz7A+g4NNj3kdiyLFB5ANdVwrAl
C87DK6A1ujphyQRjOLdRi7igBZlcobNsfc9iXT0auii6HZTaWth1K5+Sh7nU261P5taOXy2nq699
OYvhFSpEDydz55ZUlyjZFQgVFPJZHPvOaasp7olhIBqk9TV/34KwnzVjbYOOIo2SGNf36lhMqtqv
V3g7R+ifyYCF0s6dyQNMnDKv+h+J73tHwJbHiS7V4YycBPVjqhugDMNXRy2mOBSuBzexjhpOJEFS
6o7TKMPDK+v6KR6H7rSP5XNw7Bn1RRRNHbPAiSAw0GpThR2AVsMJDUcxzQrDTT4onX5Zp9BmxtET
moa3fu+5tHRbtHFpi2XMcJA2QaBndDroTZZ64SnedzkaMO3SyoWep5cGsqhzpDmkZW1649HoNdqR
78vWPKYdq0hFdQhm25nJPg5uUZzq8xbPw5WptDaaG150VCQ5gPCsvRzLkK5bXKHOIRkjOvYGDUOk
NFTPOQs1Qm87sDpSw50V4Lw0SwJFOa8qFfSJ1eWHhV8doS35A2xjP0mwGRLI8nCueKjBesVYTzE1
8+cMmcpZLEXywjWVVahLqDiUHtK47TKpI1cIvuVrfF/D077WN2hSIkcne5CcDPLNDrgLKPVrU6Mf
YXnaJOr7pdrGX1VAZs6J7qD3QfV53hbKRabaX2WvwiCPUVJOe7onCmNYZMxdVP7IJRHEQtvNO60q
xu9WmhxXmrIxjKxZVGZ33VKQUra2kXDLo9GWyOeW56zSJFu2mnES9s5p3slLXwEyPsYeViGueQG0
bjF6wXkyBmjD1MnC0SH8j8ZwajD8ziPpC6MR7v9eR4obqYWxcX8kanmnddC/HN++x5pxiR/el4L2
HJp6OQpdeZUweFOH5KyIKIymqmY297ot+G+aASvSzfoTp+POpxYOohPFBLgpVGyyo9xxtZmFc8OJ
h9bO4X8S48fE2GBg9OtgfLPx18n6Y1os/upVMCZqqgYBl67MIxX+VVosm4Ro0SoB2ywAxy9psXyg
05WxEYDFoxWexs+0WAPwjBgA0dh5jMUk038QjA1FMLveTMCEOq5ASQtCD32Ld2lxGpMxx7yN8xZX
1WoWasjpGzIaoamEtaAHzUPHqUyMq922Oey7QaFRA/NVaZ2j2ojMaQ6ObOGFw40tZXQVw4RhqxIg
R2cm87DJ7z21V5gD1ED8l4j7N9JMk5qvlT3qVwNKsUuzNF3quIFJSm9RxavaNLfa8hS/gWZieKqP
JLpyV2MOJLtNvcq7FLHZEG1/3D0ivHzABCv9JTNv87IAycmsprNnpL+oe5M8T2JHdGMaAHGDkzs0
sBP0bCL0/BtppYRYrYaUqxO7CR6UVO2RD20ZF9Vp2K5ModNGdx9ldS3yJpGbKueuGmI02aT8N9TJ
Vxaqq5Oclx+FJUmJMiCvglDlKAxL6HdxjvEwifEyCfE06fE2qUuaVZzgdY0UyLEpDFCyujWYoYdX
GWbg8HuPWwlz2tLUkERPimE5+gqBDE8Vu2G4Xz7arKCll4/VtYP/CvBA+9Aoxouyi4aZhkcLc5r7
DM8WbE0t9IX9I/QgLozavfFaNE86BEZbpHrLXD+U8X8xqo4Gi7CEwdrHYgCSfQ+7+Ai529s+xD5m
wEemF4YyTe0sAhxmjNTZ5MJyRsGuFmcXlNpTk2XBWIjxkvCpCQJEfyPhXaNiYmNjZsOoKUHUE/R1
nBr9nAsYaR3hfjNW1TezrW5tE5SZrmbzyAtQS/IC5o+Y52QaWsaJ8NPpbdObVXJ/k/HVx4/Qo6CV
kZQZsTMwoftMPb25yAVWSRaopRL4kp7X3wndDwkA9IWrKQ+5QDohxSA0kVV4T6CgoPu2C1Mgo8ai
wtWI7bpsZAD+8iOEKhBoqlzXDiWBr/JIXaaanXEQAF8NgLB0wFiaQGU5yFDNlbBCp8rEGCsFtlDJ
QzLl7OfTXCC7Amx8TN+FswNgEmQNZwTtt3jSCkyYi4ojRYA26YCLeS24Md/uzzWAZCqAMh9gmRnZ
hxJAs0Y9ZHTmdqcOz6z0+joXmDQTcFqUmN8sVAJBDcYMtMJh5gJkixD9lwWwLa2/WwLpliHYN8nC
3JlXllNOMweeWx3SH4vyU1XFt0ZKvlRA56LCO6mTPFkpgOoC1AJUQHZ60wHuF7i7su/Pk1gdj2w5
vvXB6BkmdSDCR9ZhWFgnqoPaHXi+WAD7GH2rzE4j5J4F7M/zAQCCAgwOGzCBKthApiG3sQAL2gI2
aIIf1C3jW1NW56oAFvpkVbNegA3RxDJmpQAgYm3IILmpl2iJwZQ2x34qkUl2pvsNGegUiyeAtHgr
EHr4O9AhPV3XGJeR6NAdy00hwJDqiNUaOvkrkooRmSIgkw7LOm1BUaqgKesOoxxNACzbsNJnUVua
qwj0JXKfxzpozABdPhjl9AJjkJoyiM3R1G5ccJPTUoA5izqWYNIpV+ixUJKBEfO09FIVEFAFLKjp
NMtagEOL1HbnatVelgwvXfCjrV+dyo+AUth1gYCYulZyGYM57a1AOvJBoQYCjirX/ZEJPrX1MB8D
vWBMMbKPEa/DIDIWgNZR9k9RXaCfSGowk8r4b290b4qcdGlQmE5pAhrb++FDmdN3yOh4yAI+S26p
TlMBqe08aVzVoGwtgQMai/Fy0JhmSwKKGznedQ+zqxEYXbC6jpO0ZKHlEcxUVNYVH0kzAe3VOrPB
chuiGwy67wn439qT10XVB+RhQINtMMJmk3xRwQyPWGiIsn6ut/qiBFWMyvhxAMo4rNx6NbKJKGvN
AJy0vBws5X4Em2x4xOxeaHSDWi6UcgPU9LQGzTyCerQEvLkamqkO3jlDOwR1DuQtmXvTtVxZIKNl
Dx+8lk2AGAWRO4czCfDMEHDqfrBuoFOejrqxiWoCZaCZ2Zw+/IrD3U9qUNkK7cdJXznnpQNsSgW5
HbNvUVOB0WkJxFGrShMO2iXcthZGA5KmMtqm3J3lPAv8Bt82hm6oBZnnthBDpeOhLsuq/B5EyrWB
L9mUvP+LYtW3uDHRNyYuULeANUYtViGCKGCu7TtIN/2ydMoF7++uDBGNSe3soRKKrU5I/xQrvPEM
lw1j5iLsyp2HdAq/63L/uBbar9BU6A6jBuskzYMr0mHZKh40Pz0PQwcLHaEhW7fuqYIoBkbW6Ms6
QmnWIy/Hoxr1WU5ZMXVt48xH+GOWC41aiRlQhmjtgDP43CJOCjXbDlnbQejbBlL4I0LwFrNXAJNJ
snRd5CvCge/Aba8VI1fAORTW0ShZhzgOcxWnQFSg5VigXkZMPSSlOgcTM/OG5O9IjrIp0tznvQUX
sZJQRdOCBHP1/G9bSpns6M5tJ7TspQLNXfry68hHDCJHnkBGdeGyxOyDaF457qne+ks/0A10EQGA
HKLH4BSIRcaZb07KQPZwKw+KdgR05xT+yX/y6Kc8mrTyN3l0A5JssyWP5q9e8mhMj5Fx4BjQNECV
WWTEL3m04hzAykNqy3g0wXrVXsYFC7lRIeVsyC8Ej5emhnEg+h/0qSHYa1DqlD/Jo1X7PZLMxIFL
oVENzk2n5SHTGX/d1ECoSi6oB5uzMQaB1SN6QqfMR/6Yxp7cIqpUxgIXjwFM5p4Gpd3NDKXDCy9t
L5IqO7SYnU4qeqITpy1meMEfg6E8HSx6ERm0blmOHlqwxIiSt4g2SpBT3U49xbMPURbZ9KZJJYau
8jdi4w+10r87BeaQtu+Q9wghdkcaF7EuSQg0+fDBEIjH6A6t9Tz8CpbsRz5kX1o/YCRXVzkeTObX
sqgPU6a2tSN9c1NkotC3gMR72kb+Cey1H1VmIyrrWBcAtO9jx7NxN0fSCbSKuYRudtQo2W0yyMMc
9RGGmzVAzSLuUBvpvgxqXs69ulvoOkxfNdS6qd6RDEWS/VD4iNjbsXlS1fFNh4D01MbzyIjsqyxw
HsAYXQDWwWYTBgxN5bCeux095rylCZLeu3V26xbqeZWl94wq4PdGpTdv0o5obSUXtNhXwmdVD70f
sYqeTx7b+awzIxEGs/tOcYC/4vWTDNC4c1UbZwMGOwsOezllPnFSV7RHdPcE5dXZyI2EUme3kMvu
yHOclZD5wdoHP8pwYyXljYYyFs4L3xNvRBlfNML5khwZ08OuwwJNlZFCVvvCvCT5PfWd/u84dLIZ
+jxgxFx52pQhhrCy+k33jCu9xg7NDqIb3VP/blSzPRwC8ecGKrm61nxPpGZVZT7UNsNcNDWiRRRK
IcVWfIusQLRQ84a5niEjrW9BGlXofMi0WswxWshWDsvOlpdF7WeIPyNi1OR8a4BeuindOyTGyaAK
tKRMrNiWboVwJ9qkR4h+e7MyxD7D6MYrKzaWXWosGoQiMbh1hYw0VRDJCd31sQpn3IhkIDS6p/bI
Jh4qvsNEzb15V47XCLDxqqmN+FC7cOXmerS1o6ADrmSpVFVV4XozL2bYjHzVfZ31323k4ieWmd/J
SoYlZOZOy64HwiUH6AuUDPQlfyWnGGNLFrx1Wc6W5iAvFTlopoi4Oava7waspOxNEhYnIMvbSV6F
+bx06kPTG4aZ2oAlQLLxS1YYaAeA9WI3JhMkfu8qCsmpXCrmRB/BfaHrrh7raURaRnPVO4xVx9dm
UdR9U+2obOelVPnBV5bBrc/V2oKebwaGtjDdRE5vLNSDs5le5yPylWVc+VNUd60LLsmA5lGBjo9W
9N5t0OTzKmYLTXRfd8/yqoInQz5lw4iUDY/ZFVmYX8hC0szoL9GYwxC4CLR5b9GbmjQ4sc4onqri
sMGTHamEAPGdKT3gOJlVgwbeNQaXZ/bFUg419XvUUfycxmneEGdiH0CBad3LHkZk1KZDCVOUmboz
kjzpRjEPAtXybuTaiqtb1W09wPzaqKKyJSem+wMFNV8/lXEok6jD+yb/D1roaQYggDW/vi5vQRVv
uSzfzmK58JCeVNB6dOAX/LwsVSYAKngJGdKhbPF//tN00uwDJrE6dHnF1sDU6a9g1xg2KRgooerI
PFYVw90/aDrRV3rfdKLqNXVSWiZJgI/eUx7RyQjTWA37c8am0gQ+B/P98qZWMY8NVULwiPntTdAq
MacmSa6rxi1Xkqw0q2Z0lakCCM2j819PCl07Y9YhzzmfUGysELgiw71alc1jv2jvnKbLb7Ihq+Yo
afcXjuflU1ShrKnTuNmNXrWnpcw+r1NoWoEPxcQr4Hl3qXcFNT5dNoaqzb0Wd9VKUb4kiMOs4hgW
XOhoS6x9DrXBvvGKplz0Ogp/ZpsH53HQJ1Punh+MedG5xgoQG7PgS6F32amvDumiHh2wxFGKpDpL
cB4otrvo5dpZwT2iAutUpmWJgyF3bjkzzM6Qhk3HGlI58xGkLJhZhzTYmuSkoTUUOdJtB0AKD5tm
6uDXTH2cH8mNjlWjJ89Vrz2KSgmxOfsrq3maZbSb5Dpj9kC5NUkj/4fR6uveROo867JvXhF9E0yP
OVY1TAG84LrWGQBosQSVOwWvanreKhpRDZPMZKN5SPP2qXlkIrpCKUTHzTHCcFFLBobkbofSpjHe
8kWHDD7y60xyz3TGvDYKBJqwONdz7cEdqgs4fu0JzDDgUTV+y0Vnn8FWoaJwxzMj4yut836G2SD9
De1O1cpvYxfdS25OE8PHKDjuz82OwoJqCEVqzPPQj1MPES4ySOBhhOOvfg5krp6qiU5PzzzJ+gT8
rKVhS6H4t7k3Xuo6+gOFBbGlHyXwZBFONJTLUxPTdvtcGwiMd7JqGsOhRRIwx57nGGD9SJEPs2yG
/mU18S1jI1WI5jdCzV4aFo+SAa4TGtTx8VELEwByKO03NVFO8GbFoUkQy1xZAQVq2MFyMCLmV5iB
AThSr0o8VaetXQIF9iJw5PT+Bz8Y8EICGJ6FzoKEkIs7GlnkoHIPpaEqEK6JcATjgE9ldioenFdx
moL1D/TD3nYqBteJfJP6LoR2HR2lLIVNbISolDsmThcuitW6nKKb4m4GzCICLC8OI8O4KWuXPl5a
T1FkmlqWc6ZX6KwgO2giKN3I4G3NQ8ku9XOrHmiOMgGf5kqAamepX7dRlk3d2jiRGRJNHQBbU1ky
jkowB0fKkB0XeqwcFlnAt1Q7DGe+V4p7LnXegtF1vyAthAFdBkzOkhIFJKpSKs+ZXcR3fmws7Czn
qHNMcjFkUpPkR87UqRfjp0iy7FksRlK+GE65YkxF2YZOgE7x39juWVsgmB065lzFX5v2Tcs+h6MA
waC/HJQKKDcQtqNiGO1JI0ZkclHrc7vK9OXguQzQxCgtL9JjTwzXBjFmg4I7ImSpSEtdDOGyIr80
JSrykfkc6j/fsUrQLtQw6KdEPwi4AV4ePnM9iQTYE4M+k4lfYYXe3xUzQMfnGF9azAXHxwkhQ3na
dv+/lJvPejmzdb2epwjmD5fNphyuNhU5T/VytYjfXmTYTNxk/94/+v2D/to8vvLNkG/++7/WD+A9
Z0FVl8F9LcrOx98dPvz3fz3fyO/lbR7f2OO7/u1z4jWfrnngFTQd2QAM6hmuo1zEDygoDN69519L
CmUsqjJYKcr8htv/1Rr9ahV+/wGflvP3/+a3b/79Ioii9k1a8ueLAJSAjMQBfLB9EUhPQBnYBpOy
fViE1xsBvABIhj/+/HzLP/eAdUCGZQJ0w8lb/NDFeL8HYO2qFj2Ep/XZh0X4cByAkv87K8Fz3iwF
oAskN0zt6ZOSbb5ZCnYCyoJkqfzZfp6Gpzf2pEj6T6z6o5BA40oBjkiu/YvTgIUq+wWtRzbKXi6C
Qmnxx0fi7UYwDjSG36yB+cszIWKGgjjKni6C/B4l8O/ERWohw0TebPtO4HIANQWBw3q6iPbwcnja
orscB6pMUZWqNp/xbSyQ+fSPmmtPcXNfT4Ox8xogLoRYHYp1YKUff7aERYfDghjwvi6CkEraMSTY
Bwg2qQoAl6eQIALG61RJlQ9oSjoCyb2nIUHZPVVyDmQGE5aM0uDjz4dFUA+YXyhIR+3rIsi7J83k
xOJ7JjD+chGwhaORpD8t+B7GxadvZ4e4iFOpRTfOUkXmLH4+xARKC/YKqdJTSrJ/i6DuvhNsUmcx
rXtegw+LIMonYGwOB2ZPY4L8lL/ssBNo0SKGjZLnc84s0vD3gZHCSqGAekqm9vWOeI7buy0Fg2Ca
WUx+H3/4qG+XAmqR7iDrvbd3xHOdv8siMN9mdm3Q4n2KDO/3g0gbMXuCNLy34XH3SpIqioGGgqD1
xy0AfwwqmLGvcVEI0uyWK4mE0TYVXf/46fUD3K3ARcB7e/zZ07Co7Jw0ayqYaDQ5SZeeYgEZ6JtY
oBgHKBBxTKguxM++hkXlaZ/uFhEAk3MerOdC8kNEELm1Y+KQvhcNNj7w+y7jc69jl0VwDhTx8fF2
f9oPH+4GjYQJT15NZBH72VfZPWEyDygk6aDp9C2fz//bQ+EcmPyO3tLeLsLudwOoMaHZbsjPGdP7
pjtdRrBkYMBEO34/d8Lu9QNsEhpLDO6fToMo0N/sBFFO82udZdjTRfigAv3HHTbuSXpnkHC0X/UU
1AMNgCEq0PtaTj+f010Co46PggrD8yUmvD8OClUWuAzdEnRPfvb2onw6rbsshXlAi4nMkNjw8lHf
HwrEbBAiFKKAexkZ1J2TR+1RaZElQGN86yJQPzgm/DRYui93yF4uhf4ZiRM3BQhe5bnx+v5ocFPQ
mbaBVe1rfHju/uxyKKwDUF6O+U+X5cMicJXYikN40F/2y37uh90zB3JITVVpQj+X1h+WQjkwRQdC
39v98NwS3WE/iM6jphAdXoa076sJDgVaX9i0CX/FvdwJ2s7pE0ESuKKMZMFL6/F9+iQglTLL9Gz8
t4ft151HMuwE3XlkNzyHR5b1/XWJNRPjy+eJ8P4tgrAQZIvucBzYCVDeaCehTfz4w63zdhHwqRKa
xppQP9rP47D7RYlQCJx0MqPnlICa4f0i6I74H4b64mdfc0jh9rLjfkDXSjTbEbx6yo7e3xGQltB0
JWPY30XYfU5pHiA0I9rwz4XVh+qSi9IwKb32FskjkO477gT7QNj0OkC3Hvf8xxKbFqXCKlBP7Glk
eC57dwmPFI+sgE7K9MtFoBcNesF+ikL7d0cIWuGOO0GDpyhj1PyMZhIn/014JCZo4Brouu1tXbn7
cWAWi7ITYNfn4npLTIAfq5Mu7G0xtXsFYeNV8Hg/PIM9ty2C4J6iIL/XxbVwLNvxUNBGwFyZufVz
MfUhZ5APaD9CnhWSwbzWHkaGnVNoyMi2QcVI0+mf7/tNZFDJsWWoSbh+7+si7D6VYCgJXgeG2XMK
/f5QEB5VrggOzr6uwe4Z02MuYBmMLD/eDQotalbneYvs6xrsfkMwmGEso+PL+4tcQWEfMLxynKcr
ZF+rCKE2sGNwNCCGqCbXIV0G8fM+YxDjGbIJUOB7eyZ2vywfO9Gwx152/ocbAjqAajPWFRLBe3lD
6Ltfk7poJIlh5K/hPNiOajro373OGJ6/o11qCbJkxlBgX5+bbu9DJZclDTmFFHJfMwah57djZADZ
ZMoaAJ6nTsrHqlI+4JfsGGBuz5FjL4/GBxnFf2d8C3jHZHr5i6Mh6EIcDMgyTxfKvkaJZyjaLkcD
YIcmi4/5axKZ6ojDIXj/+7kfdk+mhRwQiSIJwuPO33ZpcnAUXJ/3dhF2TyRtWm8AveiovEskiY78
wkIDem/Pwe5zGYHyUgD1Afl+/NnSjTcgRwgrwX/9HPwLlec/BOWpH8QPc8EURj5xG4P5V//gZQrx
8fev0HCPfNM3/1JQlZ9e/AkzJ/7//3nLXH6snF/99qWSfnyl579//ogfX/zNi718rpf/uAo25bq8
94fHXwzPb/RsncBt/t+Y//Wwfo/lE13xl/+2nWb9z/34+6ejFrd5edBPTrag3f38qB853P/aw5P1
Q1a+POjVwzk4Oz980tT1tjfOTt352dN1vG75SqqXZ7167+z33Z+fxU314SslzyCt+YSHp3WJg2hW
1dtegnC280vMNvFfZ1m5df2JPTs/fx7/NctKNs/Ls16tP8XLzs9flEiybns4mfDOD1/GmzR9ec6r
N/4Zx3XVJHdZ/FB/fLxAu+/81g+TfFMG6/jlUT/fvQCS7/74dNiy6AKYvfOjjzflljUX8/LdHx2k
3pZAoHzGWT1ZR1timCCU7Py2T9ZVtdm2Jp9xQE+y6q//Tb1NvNm2Mp9xRE/XDwTgl3V4tRE/44ie
rstg29J8xhEVz86zbdFdYAp3/lpPN+lDdh9si14C3P8Jzy/vNw8vD/q57gIAt/vDM977y3NePfsz
julptnVNPuOU8uh6U26GLe/8M07q2TrfstHFzHjnBT/btOuPuSNGNJ9xRM/LNSHg5V2++jo/44he
xOv7zZbcUfRpd16Wi7hJtiV3Yhq388OvAlLHKnjYsjJiBL7z86/X9yUlQVpvuUu1zzil1+v0r8kG
oc9tL/AZR/XpBcp0XT5sDWTaZxxa8SKzYONt+xCfcWrF8xecgPugut/2Gp9xfMVrHGXrotl2W2mf
cYbFK5w0QfXX+V1Q5ds+x2ccZvEqp+t6s+35n3GeeX69/muyLu/W23IGMT34hGMnXmOKmvaWYC2a
8p/1Cr92Kv6Nptq/VI9f++utNaFgAO3+7ulhbF2aTznMv7fJ3Hlhfuf8tvvDcazdtmc+5fzWa0Qo
43VTvXyFP+9hAcrd/WsVbZYt97D+Gef2tyZPu677DTk+6ocva/BzXYSS0M7rcvM7Xf2d33pDgyjZ
1pcTY4ed3/tXntBsO6vGZ5zV30go77out83dloNk/N9X7ba27D9IqI/N2hd1x21/9rYXLf7FfbxZ
l//z/wAAAP//</cx:binary>
              </cx:geoCache>
            </cx:geography>
          </cx:layoutPr>
        </cx:series>
      </cx:plotAreaRegion>
    </cx:plotArea>
  </cx:chart>
  <cx:spPr>
    <a:solidFill>
      <a:schemeClr val="tx2">
        <a:lumMod val="25000"/>
        <a:lumOff val="7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emf"/><Relationship Id="rId13" Type="http://schemas.openxmlformats.org/officeDocument/2006/relationships/chart" Target="../charts/chart5.xml"/><Relationship Id="rId3" Type="http://schemas.openxmlformats.org/officeDocument/2006/relationships/image" Target="../media/image2.png"/><Relationship Id="rId7" Type="http://schemas.openxmlformats.org/officeDocument/2006/relationships/image" Target="../media/image6.emf"/><Relationship Id="rId12" Type="http://schemas.openxmlformats.org/officeDocument/2006/relationships/chart" Target="../charts/chart4.xml"/><Relationship Id="rId17" Type="http://schemas.openxmlformats.org/officeDocument/2006/relationships/chart" Target="../charts/chart7.xml"/><Relationship Id="rId2" Type="http://schemas.openxmlformats.org/officeDocument/2006/relationships/hyperlink" Target="https://chandoo.org/wp/" TargetMode="External"/><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5.emf"/><Relationship Id="rId11" Type="http://schemas.openxmlformats.org/officeDocument/2006/relationships/chart" Target="../charts/chart3.xml"/><Relationship Id="rId5" Type="http://schemas.openxmlformats.org/officeDocument/2006/relationships/image" Target="../media/image4.emf"/><Relationship Id="rId15" Type="http://schemas.microsoft.com/office/2014/relationships/chartEx" Target="../charts/chartEx2.xml"/><Relationship Id="rId10" Type="http://schemas.openxmlformats.org/officeDocument/2006/relationships/image" Target="../media/image8.emf"/><Relationship Id="rId4" Type="http://schemas.openxmlformats.org/officeDocument/2006/relationships/image" Target="../media/image3.emf"/><Relationship Id="rId9" Type="http://schemas.openxmlformats.org/officeDocument/2006/relationships/chart" Target="../charts/chart2.xml"/><Relationship Id="rId14" Type="http://schemas.microsoft.com/office/2014/relationships/chartEx" Target="../charts/chartEx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xdr:col>
      <xdr:colOff>263525</xdr:colOff>
      <xdr:row>84</xdr:row>
      <xdr:rowOff>171450</xdr:rowOff>
    </xdr:from>
    <xdr:to>
      <xdr:col>8</xdr:col>
      <xdr:colOff>111125</xdr:colOff>
      <xdr:row>100</xdr:row>
      <xdr:rowOff>69850</xdr:rowOff>
    </xdr:to>
    <xdr:graphicFrame macro="">
      <xdr:nvGraphicFramePr>
        <xdr:cNvPr id="2" name="Chart 1">
          <a:extLst>
            <a:ext uri="{FF2B5EF4-FFF2-40B4-BE49-F238E27FC236}">
              <a16:creationId xmlns:a16="http://schemas.microsoft.com/office/drawing/2014/main" id="{A569378D-C3FE-4EA0-A0E8-6C7ECA4D06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508000</xdr:colOff>
      <xdr:row>7</xdr:row>
      <xdr:rowOff>50800</xdr:rowOff>
    </xdr:from>
    <xdr:to>
      <xdr:col>23</xdr:col>
      <xdr:colOff>133350</xdr:colOff>
      <xdr:row>50</xdr:row>
      <xdr:rowOff>50800</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762000" y="1295400"/>
          <a:ext cx="14376400" cy="7645400"/>
        </a:xfrm>
        <a:prstGeom prst="rect">
          <a:avLst/>
        </a:prstGeom>
        <a:solidFill>
          <a:schemeClr val="tx2">
            <a:lumMod val="90000"/>
            <a:lumOff val="1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6350</xdr:rowOff>
    </xdr:from>
    <xdr:to>
      <xdr:col>3</xdr:col>
      <xdr:colOff>0</xdr:colOff>
      <xdr:row>38</xdr:row>
      <xdr:rowOff>105834</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6350"/>
          <a:ext cx="2196042" cy="6634692"/>
        </a:xfrm>
        <a:prstGeom prst="rect">
          <a:avLst/>
        </a:prstGeom>
        <a:solidFill>
          <a:schemeClr val="accent5">
            <a:lumMod val="75000"/>
          </a:schemeClr>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US" sz="1100">
            <a:gradFill>
              <a:gsLst>
                <a:gs pos="0">
                  <a:schemeClr val="bg1">
                    <a:lumMod val="75000"/>
                  </a:schemeClr>
                </a:gs>
                <a:gs pos="100000">
                  <a:schemeClr val="bg1"/>
                </a:gs>
              </a:gsLst>
              <a:lin ang="5400000" scaled="1"/>
            </a:gradFill>
          </a:endParaRPr>
        </a:p>
      </xdr:txBody>
    </xdr:sp>
    <xdr:clientData/>
  </xdr:twoCellAnchor>
  <xdr:twoCellAnchor editAs="oneCell">
    <xdr:from>
      <xdr:col>0</xdr:col>
      <xdr:colOff>174589</xdr:colOff>
      <xdr:row>0</xdr:row>
      <xdr:rowOff>107779</xdr:rowOff>
    </xdr:from>
    <xdr:to>
      <xdr:col>1</xdr:col>
      <xdr:colOff>1663700</xdr:colOff>
      <xdr:row>3</xdr:row>
      <xdr:rowOff>6350</xdr:rowOff>
    </xdr:to>
    <xdr:pic>
      <xdr:nvPicPr>
        <xdr:cNvPr id="4" name="Picture 3">
          <a:extLst>
            <a:ext uri="{FF2B5EF4-FFF2-40B4-BE49-F238E27FC236}">
              <a16:creationId xmlns:a16="http://schemas.microsoft.com/office/drawing/2014/main" id="{687DA6DE-9337-4C9B-AF91-2F77566903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74589" y="107779"/>
          <a:ext cx="1743111" cy="431971"/>
        </a:xfrm>
        <a:prstGeom prst="rect">
          <a:avLst/>
        </a:prstGeom>
      </xdr:spPr>
    </xdr:pic>
    <xdr:clientData/>
  </xdr:twoCellAnchor>
  <xdr:twoCellAnchor editAs="oneCell">
    <xdr:from>
      <xdr:col>22</xdr:col>
      <xdr:colOff>304800</xdr:colOff>
      <xdr:row>1</xdr:row>
      <xdr:rowOff>0</xdr:rowOff>
    </xdr:from>
    <xdr:to>
      <xdr:col>25</xdr:col>
      <xdr:colOff>0</xdr:colOff>
      <xdr:row>3</xdr:row>
      <xdr:rowOff>67829</xdr:rowOff>
    </xdr:to>
    <xdr:pic>
      <xdr:nvPicPr>
        <xdr:cNvPr id="6" name="Picture 5">
          <a:hlinkClick xmlns:r="http://schemas.openxmlformats.org/officeDocument/2006/relationships" r:id="rId2"/>
          <a:extLst>
            <a:ext uri="{FF2B5EF4-FFF2-40B4-BE49-F238E27FC236}">
              <a16:creationId xmlns:a16="http://schemas.microsoft.com/office/drawing/2014/main" id="{46E40EAC-D019-CE2B-01E2-EC0A7137278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487400" y="182880"/>
          <a:ext cx="1524000" cy="433589"/>
        </a:xfrm>
        <a:prstGeom prst="rect">
          <a:avLst/>
        </a:prstGeom>
      </xdr:spPr>
    </xdr:pic>
    <xdr:clientData/>
  </xdr:twoCellAnchor>
  <xdr:twoCellAnchor editAs="oneCell">
    <xdr:from>
      <xdr:col>30</xdr:col>
      <xdr:colOff>0</xdr:colOff>
      <xdr:row>5</xdr:row>
      <xdr:rowOff>0</xdr:rowOff>
    </xdr:from>
    <xdr:to>
      <xdr:col>31</xdr:col>
      <xdr:colOff>6350</xdr:colOff>
      <xdr:row>6</xdr:row>
      <xdr:rowOff>6350</xdr:rowOff>
    </xdr:to>
    <xdr:pic>
      <xdr:nvPicPr>
        <xdr:cNvPr id="14" name="Picture 13">
          <a:extLst>
            <a:ext uri="{FF2B5EF4-FFF2-40B4-BE49-F238E27FC236}">
              <a16:creationId xmlns:a16="http://schemas.microsoft.com/office/drawing/2014/main" id="{BDA7D39C-A7BE-4299-A815-95EFB8D0907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221450" y="889000"/>
          <a:ext cx="666750" cy="18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xdr:row>
      <xdr:rowOff>0</xdr:rowOff>
    </xdr:from>
    <xdr:to>
      <xdr:col>31</xdr:col>
      <xdr:colOff>6350</xdr:colOff>
      <xdr:row>6</xdr:row>
      <xdr:rowOff>6350</xdr:rowOff>
    </xdr:to>
    <xdr:pic>
      <xdr:nvPicPr>
        <xdr:cNvPr id="15" name="Picture 14">
          <a:extLst>
            <a:ext uri="{FF2B5EF4-FFF2-40B4-BE49-F238E27FC236}">
              <a16:creationId xmlns:a16="http://schemas.microsoft.com/office/drawing/2014/main" id="{F60BC460-3089-4C88-81B3-9921399F1B3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9221450" y="889000"/>
          <a:ext cx="666750" cy="18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xdr:row>
      <xdr:rowOff>0</xdr:rowOff>
    </xdr:from>
    <xdr:to>
      <xdr:col>31</xdr:col>
      <xdr:colOff>6350</xdr:colOff>
      <xdr:row>6</xdr:row>
      <xdr:rowOff>6350</xdr:rowOff>
    </xdr:to>
    <xdr:pic>
      <xdr:nvPicPr>
        <xdr:cNvPr id="17" name="Picture 16">
          <a:extLst>
            <a:ext uri="{FF2B5EF4-FFF2-40B4-BE49-F238E27FC236}">
              <a16:creationId xmlns:a16="http://schemas.microsoft.com/office/drawing/2014/main" id="{89BD4953-56F4-4ACA-9D92-691F813E0D5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221450" y="889000"/>
          <a:ext cx="666750" cy="18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xdr:row>
      <xdr:rowOff>0</xdr:rowOff>
    </xdr:from>
    <xdr:to>
      <xdr:col>31</xdr:col>
      <xdr:colOff>6350</xdr:colOff>
      <xdr:row>6</xdr:row>
      <xdr:rowOff>6350</xdr:rowOff>
    </xdr:to>
    <xdr:pic>
      <xdr:nvPicPr>
        <xdr:cNvPr id="19" name="Picture 18">
          <a:extLst>
            <a:ext uri="{FF2B5EF4-FFF2-40B4-BE49-F238E27FC236}">
              <a16:creationId xmlns:a16="http://schemas.microsoft.com/office/drawing/2014/main" id="{B547AFE4-94A1-49D0-A840-24A77B3C931F}"/>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221450" y="889000"/>
          <a:ext cx="666750" cy="18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xdr:row>
      <xdr:rowOff>0</xdr:rowOff>
    </xdr:from>
    <xdr:to>
      <xdr:col>31</xdr:col>
      <xdr:colOff>6350</xdr:colOff>
      <xdr:row>6</xdr:row>
      <xdr:rowOff>6350</xdr:rowOff>
    </xdr:to>
    <xdr:pic>
      <xdr:nvPicPr>
        <xdr:cNvPr id="20" name="Picture 19">
          <a:extLst>
            <a:ext uri="{FF2B5EF4-FFF2-40B4-BE49-F238E27FC236}">
              <a16:creationId xmlns:a16="http://schemas.microsoft.com/office/drawing/2014/main" id="{BFED1A87-362B-40DE-A40F-76B4675AF76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9221450" y="889000"/>
          <a:ext cx="666750" cy="18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0</xdr:colOff>
      <xdr:row>5</xdr:row>
      <xdr:rowOff>0</xdr:rowOff>
    </xdr:from>
    <xdr:to>
      <xdr:col>31</xdr:col>
      <xdr:colOff>6350</xdr:colOff>
      <xdr:row>6</xdr:row>
      <xdr:rowOff>6350</xdr:rowOff>
    </xdr:to>
    <xdr:pic>
      <xdr:nvPicPr>
        <xdr:cNvPr id="21" name="Picture 20">
          <a:extLst>
            <a:ext uri="{FF2B5EF4-FFF2-40B4-BE49-F238E27FC236}">
              <a16:creationId xmlns:a16="http://schemas.microsoft.com/office/drawing/2014/main" id="{CE360A45-AC48-4A69-A398-4E62B95E563F}"/>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221450" y="889000"/>
          <a:ext cx="666750" cy="184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165100</xdr:colOff>
      <xdr:row>9</xdr:row>
      <xdr:rowOff>6352</xdr:rowOff>
    </xdr:from>
    <xdr:to>
      <xdr:col>1</xdr:col>
      <xdr:colOff>977900</xdr:colOff>
      <xdr:row>10</xdr:row>
      <xdr:rowOff>12700</xdr:rowOff>
    </xdr:to>
    <xdr:sp macro="" textlink="">
      <xdr:nvSpPr>
        <xdr:cNvPr id="23" name="TextBox 22">
          <a:extLst>
            <a:ext uri="{FF2B5EF4-FFF2-40B4-BE49-F238E27FC236}">
              <a16:creationId xmlns:a16="http://schemas.microsoft.com/office/drawing/2014/main" id="{C77F5173-AE40-4BB7-96F3-30B3FEE9AD56}"/>
            </a:ext>
          </a:extLst>
        </xdr:cNvPr>
        <xdr:cNvSpPr txBox="1"/>
      </xdr:nvSpPr>
      <xdr:spPr>
        <a:xfrm>
          <a:off x="419100" y="1606552"/>
          <a:ext cx="812800" cy="184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bg1"/>
              </a:solidFill>
            </a:rPr>
            <a:t>Quantity</a:t>
          </a:r>
        </a:p>
      </xdr:txBody>
    </xdr:sp>
    <xdr:clientData/>
  </xdr:twoCellAnchor>
  <xdr:twoCellAnchor>
    <xdr:from>
      <xdr:col>0</xdr:col>
      <xdr:colOff>196850</xdr:colOff>
      <xdr:row>11</xdr:row>
      <xdr:rowOff>76200</xdr:rowOff>
    </xdr:from>
    <xdr:to>
      <xdr:col>1</xdr:col>
      <xdr:colOff>235971</xdr:colOff>
      <xdr:row>13</xdr:row>
      <xdr:rowOff>38100</xdr:rowOff>
    </xdr:to>
    <xdr:sp macro="" textlink="">
      <xdr:nvSpPr>
        <xdr:cNvPr id="28" name="TextBox 27">
          <a:extLst>
            <a:ext uri="{FF2B5EF4-FFF2-40B4-BE49-F238E27FC236}">
              <a16:creationId xmlns:a16="http://schemas.microsoft.com/office/drawing/2014/main" id="{638F8F49-C1AD-4595-A492-EDD49D2CC790}"/>
            </a:ext>
          </a:extLst>
        </xdr:cNvPr>
        <xdr:cNvSpPr txBox="1"/>
      </xdr:nvSpPr>
      <xdr:spPr>
        <a:xfrm>
          <a:off x="196850" y="2032000"/>
          <a:ext cx="293121"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bg1"/>
              </a:solidFill>
              <a:effectLst/>
              <a:latin typeface="+mn-lt"/>
              <a:ea typeface="+mn-ea"/>
              <a:cs typeface="+mn-cs"/>
            </a:rPr>
            <a:t>⭐</a:t>
          </a:r>
          <a:r>
            <a:rPr lang="en-US">
              <a:solidFill>
                <a:schemeClr val="bg1"/>
              </a:solidFill>
            </a:rPr>
            <a:t> </a:t>
          </a:r>
          <a:endParaRPr lang="en-US" sz="1100">
            <a:solidFill>
              <a:schemeClr val="bg1"/>
            </a:solidFill>
          </a:endParaRPr>
        </a:p>
      </xdr:txBody>
    </xdr:sp>
    <xdr:clientData/>
  </xdr:twoCellAnchor>
  <xdr:twoCellAnchor>
    <xdr:from>
      <xdr:col>0</xdr:col>
      <xdr:colOff>146050</xdr:colOff>
      <xdr:row>3</xdr:row>
      <xdr:rowOff>101600</xdr:rowOff>
    </xdr:from>
    <xdr:to>
      <xdr:col>1</xdr:col>
      <xdr:colOff>1314450</xdr:colOff>
      <xdr:row>17</xdr:row>
      <xdr:rowOff>152400</xdr:rowOff>
    </xdr:to>
    <xdr:grpSp>
      <xdr:nvGrpSpPr>
        <xdr:cNvPr id="31" name="Group 30">
          <a:extLst>
            <a:ext uri="{FF2B5EF4-FFF2-40B4-BE49-F238E27FC236}">
              <a16:creationId xmlns:a16="http://schemas.microsoft.com/office/drawing/2014/main" id="{2A9B5783-AF81-49F0-A7E5-A6F2547A5A46}"/>
            </a:ext>
          </a:extLst>
        </xdr:cNvPr>
        <xdr:cNvGrpSpPr/>
      </xdr:nvGrpSpPr>
      <xdr:grpSpPr>
        <a:xfrm>
          <a:off x="146050" y="617538"/>
          <a:ext cx="1419754" cy="2458508"/>
          <a:chOff x="177800" y="609600"/>
          <a:chExt cx="1422400" cy="2540000"/>
        </a:xfrm>
      </xdr:grpSpPr>
      <xdr:sp macro="" textlink="Pivot!H4">
        <xdr:nvSpPr>
          <xdr:cNvPr id="5" name="TextBox 4">
            <a:extLst>
              <a:ext uri="{FF2B5EF4-FFF2-40B4-BE49-F238E27FC236}">
                <a16:creationId xmlns:a16="http://schemas.microsoft.com/office/drawing/2014/main" id="{9B1823EC-FD05-4155-81C5-6225C78E5D91}"/>
              </a:ext>
            </a:extLst>
          </xdr:cNvPr>
          <xdr:cNvSpPr txBox="1"/>
        </xdr:nvSpPr>
        <xdr:spPr>
          <a:xfrm>
            <a:off x="234950" y="898526"/>
            <a:ext cx="996950" cy="231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29189F-1CFD-43E2-A310-BE6E1B1162B6}" type="TxLink">
              <a:rPr lang="en-US" sz="1800" b="1" i="0" u="none" strike="noStrike">
                <a:gradFill>
                  <a:gsLst>
                    <a:gs pos="0">
                      <a:schemeClr val="bg1">
                        <a:lumMod val="75000"/>
                      </a:schemeClr>
                    </a:gs>
                    <a:gs pos="100000">
                      <a:schemeClr val="bg1"/>
                    </a:gs>
                  </a:gsLst>
                  <a:lin ang="5400000" scaled="1"/>
                </a:gradFill>
                <a:effectLst>
                  <a:outerShdw blurRad="50800" dist="38100" dir="2700000" algn="tl" rotWithShape="0">
                    <a:prstClr val="black">
                      <a:alpha val="40000"/>
                    </a:prstClr>
                  </a:outerShdw>
                </a:effectLst>
                <a:latin typeface="Aptos Narrow"/>
              </a:rPr>
              <a:pPr algn="ctr"/>
              <a:t>2400</a:t>
            </a:fld>
            <a:endParaRPr lang="en-US" sz="1800" b="1">
              <a:gradFill>
                <a:gsLst>
                  <a:gs pos="0">
                    <a:schemeClr val="bg1">
                      <a:lumMod val="75000"/>
                    </a:schemeClr>
                  </a:gs>
                  <a:gs pos="100000">
                    <a:schemeClr val="bg1"/>
                  </a:gs>
                </a:gsLst>
                <a:lin ang="5400000" scaled="1"/>
              </a:gradFill>
              <a:effectLst>
                <a:outerShdw blurRad="50800" dist="38100" dir="2700000" algn="tl" rotWithShape="0">
                  <a:prstClr val="black">
                    <a:alpha val="40000"/>
                  </a:prstClr>
                </a:outerShdw>
              </a:effectLst>
            </a:endParaRPr>
          </a:p>
        </xdr:txBody>
      </xdr:sp>
      <xdr:sp macro="" textlink="Pivot!I4">
        <xdr:nvSpPr>
          <xdr:cNvPr id="7" name="TextBox 6">
            <a:extLst>
              <a:ext uri="{FF2B5EF4-FFF2-40B4-BE49-F238E27FC236}">
                <a16:creationId xmlns:a16="http://schemas.microsoft.com/office/drawing/2014/main" id="{58507264-8CB3-4BD4-A1DD-834C350E6A85}"/>
              </a:ext>
            </a:extLst>
          </xdr:cNvPr>
          <xdr:cNvSpPr txBox="1"/>
        </xdr:nvSpPr>
        <xdr:spPr>
          <a:xfrm>
            <a:off x="476250" y="1758950"/>
            <a:ext cx="618218"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97040FD-2EFE-4E87-BE3F-C782A99B702C}" type="TxLink">
              <a:rPr lang="en-US" sz="1600" b="1" i="0" u="none" strike="noStrike">
                <a:solidFill>
                  <a:schemeClr val="bg1"/>
                </a:solidFill>
                <a:effectLst>
                  <a:outerShdw blurRad="50800" dist="38100" dir="5400000" algn="t" rotWithShape="0">
                    <a:prstClr val="black">
                      <a:alpha val="40000"/>
                    </a:prstClr>
                  </a:outerShdw>
                </a:effectLst>
                <a:latin typeface="Aptos Narrow"/>
              </a:rPr>
              <a:t>11997</a:t>
            </a:fld>
            <a:endParaRPr lang="en-US" sz="1600" b="1">
              <a:solidFill>
                <a:schemeClr val="bg1"/>
              </a:solidFill>
              <a:effectLst>
                <a:outerShdw blurRad="50800" dist="38100" dir="5400000" algn="t" rotWithShape="0">
                  <a:prstClr val="black">
                    <a:alpha val="40000"/>
                  </a:prstClr>
                </a:outerShdw>
              </a:effectLst>
            </a:endParaRPr>
          </a:p>
        </xdr:txBody>
      </xdr:sp>
      <xdr:sp macro="" textlink="Pivot!J4">
        <xdr:nvSpPr>
          <xdr:cNvPr id="8" name="TextBox 7">
            <a:extLst>
              <a:ext uri="{FF2B5EF4-FFF2-40B4-BE49-F238E27FC236}">
                <a16:creationId xmlns:a16="http://schemas.microsoft.com/office/drawing/2014/main" id="{AD51241A-4DE1-4680-8FA2-9C1D99DA81CE}"/>
              </a:ext>
            </a:extLst>
          </xdr:cNvPr>
          <xdr:cNvSpPr txBox="1"/>
        </xdr:nvSpPr>
        <xdr:spPr>
          <a:xfrm>
            <a:off x="393700" y="1317626"/>
            <a:ext cx="895350" cy="288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E0E3B8-043F-46EB-A9B5-87C06BA6D1D9}" type="TxLink">
              <a:rPr lang="en-US" sz="1400" b="1" i="0" u="none" strike="noStrike">
                <a:solidFill>
                  <a:schemeClr val="bg1"/>
                </a:solidFill>
                <a:effectLst>
                  <a:outerShdw blurRad="50800" dist="38100" dir="5400000" algn="t" rotWithShape="0">
                    <a:prstClr val="black">
                      <a:alpha val="40000"/>
                    </a:prstClr>
                  </a:outerShdw>
                </a:effectLst>
                <a:latin typeface="Aptos Narrow"/>
              </a:rPr>
              <a:t>649019.8</a:t>
            </a:fld>
            <a:endParaRPr lang="en-US" sz="1400" b="1">
              <a:solidFill>
                <a:schemeClr val="bg1"/>
              </a:solidFill>
              <a:effectLst>
                <a:outerShdw blurRad="50800" dist="38100" dir="5400000" algn="t" rotWithShape="0">
                  <a:prstClr val="black">
                    <a:alpha val="40000"/>
                  </a:prstClr>
                </a:outerShdw>
              </a:effectLst>
            </a:endParaRPr>
          </a:p>
        </xdr:txBody>
      </xdr:sp>
      <xdr:sp macro="" textlink="Pivot!K4">
        <xdr:nvSpPr>
          <xdr:cNvPr id="9" name="TextBox 8">
            <a:extLst>
              <a:ext uri="{FF2B5EF4-FFF2-40B4-BE49-F238E27FC236}">
                <a16:creationId xmlns:a16="http://schemas.microsoft.com/office/drawing/2014/main" id="{BE9D7092-84B9-4A68-8AD3-082E7648F774}"/>
              </a:ext>
            </a:extLst>
          </xdr:cNvPr>
          <xdr:cNvSpPr txBox="1"/>
        </xdr:nvSpPr>
        <xdr:spPr>
          <a:xfrm>
            <a:off x="449148" y="2335825"/>
            <a:ext cx="687501"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83485F-8E9A-4B57-9C81-1B031E4B92B5}" type="TxLink">
              <a:rPr lang="en-US" sz="1800" b="1" i="0" u="none" strike="noStrike">
                <a:solidFill>
                  <a:schemeClr val="bg1"/>
                </a:solidFill>
                <a:effectLst>
                  <a:outerShdw blurRad="50800" dist="38100" dir="5400000" algn="t" rotWithShape="0">
                    <a:prstClr val="black">
                      <a:alpha val="40000"/>
                    </a:prstClr>
                  </a:outerShdw>
                </a:effectLst>
                <a:latin typeface="Aptos Narrow"/>
              </a:rPr>
              <a:pPr algn="ctr"/>
              <a:t>3.96</a:t>
            </a:fld>
            <a:endParaRPr lang="en-US" sz="1800" b="1">
              <a:solidFill>
                <a:schemeClr val="bg1"/>
              </a:solidFill>
              <a:effectLst>
                <a:outerShdw blurRad="50800" dist="38100" dir="5400000" algn="t" rotWithShape="0">
                  <a:prstClr val="black">
                    <a:alpha val="40000"/>
                  </a:prstClr>
                </a:outerShdw>
              </a:effectLst>
            </a:endParaRPr>
          </a:p>
        </xdr:txBody>
      </xdr:sp>
      <xdr:sp macro="" textlink="Pivot!L4">
        <xdr:nvSpPr>
          <xdr:cNvPr id="10" name="TextBox 9">
            <a:extLst>
              <a:ext uri="{FF2B5EF4-FFF2-40B4-BE49-F238E27FC236}">
                <a16:creationId xmlns:a16="http://schemas.microsoft.com/office/drawing/2014/main" id="{61B84818-132D-45E1-99D3-86B2BDFCC5A1}"/>
              </a:ext>
            </a:extLst>
          </xdr:cNvPr>
          <xdr:cNvSpPr txBox="1"/>
        </xdr:nvSpPr>
        <xdr:spPr>
          <a:xfrm>
            <a:off x="635000" y="2824162"/>
            <a:ext cx="622300" cy="325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FE206BF-ED36-4E23-912B-7AC51C001173}" type="TxLink">
              <a:rPr lang="en-US" sz="1800" b="1" i="0" u="none" strike="noStrike">
                <a:solidFill>
                  <a:schemeClr val="bg1"/>
                </a:solidFill>
                <a:effectLst>
                  <a:outerShdw blurRad="50800" dist="38100" dir="5400000" algn="t" rotWithShape="0">
                    <a:prstClr val="black">
                      <a:alpha val="40000"/>
                    </a:prstClr>
                  </a:outerShdw>
                </a:effectLst>
                <a:latin typeface="Aptos Narrow"/>
              </a:rPr>
              <a:t>2.3</a:t>
            </a:fld>
            <a:endParaRPr lang="en-US" sz="1800" b="1">
              <a:solidFill>
                <a:schemeClr val="bg1"/>
              </a:solidFill>
              <a:effectLst>
                <a:outerShdw blurRad="50800" dist="38100" dir="5400000" algn="t" rotWithShape="0">
                  <a:prstClr val="black">
                    <a:alpha val="40000"/>
                  </a:prstClr>
                </a:outerShdw>
              </a:effectLst>
            </a:endParaRPr>
          </a:p>
        </xdr:txBody>
      </xdr:sp>
      <xdr:sp macro="" textlink="">
        <xdr:nvSpPr>
          <xdr:cNvPr id="16" name="TextBox 15">
            <a:extLst>
              <a:ext uri="{FF2B5EF4-FFF2-40B4-BE49-F238E27FC236}">
                <a16:creationId xmlns:a16="http://schemas.microsoft.com/office/drawing/2014/main" id="{CACD61F7-E916-4933-A2BF-3852D69D934C}"/>
              </a:ext>
            </a:extLst>
          </xdr:cNvPr>
          <xdr:cNvSpPr txBox="1"/>
        </xdr:nvSpPr>
        <xdr:spPr>
          <a:xfrm>
            <a:off x="431800" y="633412"/>
            <a:ext cx="615950" cy="268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ln>
                  <a:noFill/>
                </a:ln>
                <a:gradFill>
                  <a:gsLst>
                    <a:gs pos="73621">
                      <a:srgbClr val="FFFFFF"/>
                    </a:gs>
                    <a:gs pos="0">
                      <a:schemeClr val="bg1"/>
                    </a:gs>
                    <a:gs pos="83000">
                      <a:schemeClr val="bg1"/>
                    </a:gs>
                    <a:gs pos="100000">
                      <a:schemeClr val="accent1">
                        <a:lumMod val="30000"/>
                        <a:lumOff val="70000"/>
                      </a:schemeClr>
                    </a:gs>
                  </a:gsLst>
                  <a:lin ang="5400000" scaled="1"/>
                </a:gradFill>
                <a:effectLst/>
                <a:latin typeface="+mn-lt"/>
                <a:ea typeface="+mn-ea"/>
                <a:cs typeface="+mn-cs"/>
              </a:rPr>
              <a:t>Orders</a:t>
            </a:r>
            <a:r>
              <a:rPr lang="en-US"/>
              <a:t> </a:t>
            </a:r>
            <a:endParaRPr lang="en-US" sz="1100"/>
          </a:p>
        </xdr:txBody>
      </xdr:sp>
      <xdr:sp macro="" textlink="">
        <xdr:nvSpPr>
          <xdr:cNvPr id="22" name="TextBox 21">
            <a:extLst>
              <a:ext uri="{FF2B5EF4-FFF2-40B4-BE49-F238E27FC236}">
                <a16:creationId xmlns:a16="http://schemas.microsoft.com/office/drawing/2014/main" id="{C063BD43-CC49-491A-8E23-5D59B03E146E}"/>
              </a:ext>
            </a:extLst>
          </xdr:cNvPr>
          <xdr:cNvSpPr txBox="1"/>
        </xdr:nvSpPr>
        <xdr:spPr>
          <a:xfrm>
            <a:off x="177800" y="609600"/>
            <a:ext cx="2984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dk1"/>
                </a:solidFill>
                <a:effectLst/>
                <a:latin typeface="+mn-lt"/>
                <a:ea typeface="+mn-ea"/>
                <a:cs typeface="+mn-cs"/>
              </a:rPr>
              <a:t>🛒</a:t>
            </a:r>
            <a:r>
              <a:rPr lang="en-US"/>
              <a:t> </a:t>
            </a:r>
            <a:endParaRPr lang="en-US" sz="1100"/>
          </a:p>
        </xdr:txBody>
      </xdr:sp>
      <xdr:sp macro="" textlink="">
        <xdr:nvSpPr>
          <xdr:cNvPr id="24" name="TextBox 23">
            <a:extLst>
              <a:ext uri="{FF2B5EF4-FFF2-40B4-BE49-F238E27FC236}">
                <a16:creationId xmlns:a16="http://schemas.microsoft.com/office/drawing/2014/main" id="{8417D5EB-9AB8-4F03-8BB7-9A413D016C06}"/>
              </a:ext>
            </a:extLst>
          </xdr:cNvPr>
          <xdr:cNvSpPr txBox="1"/>
        </xdr:nvSpPr>
        <xdr:spPr>
          <a:xfrm>
            <a:off x="184150" y="1570039"/>
            <a:ext cx="615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0" i="0" u="none" strike="noStrike">
                <a:solidFill>
                  <a:schemeClr val="dk1"/>
                </a:solidFill>
                <a:effectLst/>
                <a:latin typeface="+mn-lt"/>
                <a:ea typeface="+mn-ea"/>
                <a:cs typeface="+mn-cs"/>
              </a:rPr>
              <a:t>👕</a:t>
            </a:r>
            <a:r>
              <a:rPr lang="en-US" sz="1200"/>
              <a:t> </a:t>
            </a:r>
          </a:p>
        </xdr:txBody>
      </xdr:sp>
      <xdr:sp macro="" textlink="">
        <xdr:nvSpPr>
          <xdr:cNvPr id="25" name="TextBox 24">
            <a:extLst>
              <a:ext uri="{FF2B5EF4-FFF2-40B4-BE49-F238E27FC236}">
                <a16:creationId xmlns:a16="http://schemas.microsoft.com/office/drawing/2014/main" id="{0011CCF6-8C00-4A71-85A6-326D2DE02C33}"/>
              </a:ext>
            </a:extLst>
          </xdr:cNvPr>
          <xdr:cNvSpPr txBox="1"/>
        </xdr:nvSpPr>
        <xdr:spPr>
          <a:xfrm>
            <a:off x="418646" y="1094645"/>
            <a:ext cx="737054" cy="2515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solidFill>
                <a:effectLst/>
                <a:latin typeface="+mn-lt"/>
                <a:ea typeface="+mn-ea"/>
                <a:cs typeface="+mn-cs"/>
              </a:rPr>
              <a:t>Amount</a:t>
            </a:r>
            <a:r>
              <a:rPr lang="en-US" sz="1200" b="1">
                <a:solidFill>
                  <a:schemeClr val="bg1"/>
                </a:solidFill>
              </a:rPr>
              <a:t> </a:t>
            </a:r>
          </a:p>
        </xdr:txBody>
      </xdr:sp>
      <xdr:sp macro="" textlink="">
        <xdr:nvSpPr>
          <xdr:cNvPr id="26" name="TextBox 25">
            <a:extLst>
              <a:ext uri="{FF2B5EF4-FFF2-40B4-BE49-F238E27FC236}">
                <a16:creationId xmlns:a16="http://schemas.microsoft.com/office/drawing/2014/main" id="{3A7F679B-D524-4559-BBD4-C1398B4FD425}"/>
              </a:ext>
            </a:extLst>
          </xdr:cNvPr>
          <xdr:cNvSpPr txBox="1"/>
        </xdr:nvSpPr>
        <xdr:spPr>
          <a:xfrm>
            <a:off x="222250" y="1077914"/>
            <a:ext cx="255814"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t>
            </a:r>
            <a:r>
              <a:rPr lang="en-US"/>
              <a:t> </a:t>
            </a:r>
            <a:endParaRPr lang="en-US" sz="1100"/>
          </a:p>
        </xdr:txBody>
      </xdr:sp>
      <xdr:sp macro="" textlink="">
        <xdr:nvSpPr>
          <xdr:cNvPr id="27" name="TextBox 26">
            <a:extLst>
              <a:ext uri="{FF2B5EF4-FFF2-40B4-BE49-F238E27FC236}">
                <a16:creationId xmlns:a16="http://schemas.microsoft.com/office/drawing/2014/main" id="{7A3DA270-667C-47C2-A43E-B5E00CEBDEF5}"/>
              </a:ext>
            </a:extLst>
          </xdr:cNvPr>
          <xdr:cNvSpPr txBox="1"/>
        </xdr:nvSpPr>
        <xdr:spPr>
          <a:xfrm>
            <a:off x="438150" y="2001838"/>
            <a:ext cx="742950" cy="2905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u="none" strike="noStrike">
                <a:solidFill>
                  <a:schemeClr val="bg1"/>
                </a:solidFill>
                <a:effectLst/>
                <a:latin typeface="+mn-lt"/>
                <a:ea typeface="+mn-ea"/>
                <a:cs typeface="+mn-cs"/>
              </a:rPr>
              <a:t>Rating</a:t>
            </a:r>
            <a:r>
              <a:rPr lang="en-US" sz="1600" b="1">
                <a:solidFill>
                  <a:schemeClr val="bg1"/>
                </a:solidFill>
              </a:rPr>
              <a:t> </a:t>
            </a:r>
          </a:p>
        </xdr:txBody>
      </xdr:sp>
      <xdr:sp macro="" textlink="">
        <xdr:nvSpPr>
          <xdr:cNvPr id="29" name="TextBox 28">
            <a:extLst>
              <a:ext uri="{FF2B5EF4-FFF2-40B4-BE49-F238E27FC236}">
                <a16:creationId xmlns:a16="http://schemas.microsoft.com/office/drawing/2014/main" id="{2EBC25E5-EC35-4091-8419-57188900D42A}"/>
              </a:ext>
            </a:extLst>
          </xdr:cNvPr>
          <xdr:cNvSpPr txBox="1"/>
        </xdr:nvSpPr>
        <xdr:spPr>
          <a:xfrm>
            <a:off x="431800" y="2619374"/>
            <a:ext cx="1168400" cy="269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chemeClr val="bg1"/>
                </a:solidFill>
                <a:effectLst/>
                <a:latin typeface="+mn-lt"/>
                <a:ea typeface="+mn-ea"/>
                <a:cs typeface="+mn-cs"/>
              </a:rPr>
              <a:t>Days to deliver</a:t>
            </a:r>
            <a:r>
              <a:rPr lang="en-US" sz="1200" b="1">
                <a:solidFill>
                  <a:schemeClr val="bg1"/>
                </a:solidFill>
              </a:rPr>
              <a:t> </a:t>
            </a:r>
          </a:p>
        </xdr:txBody>
      </xdr:sp>
      <xdr:sp macro="" textlink="">
        <xdr:nvSpPr>
          <xdr:cNvPr id="30" name="TextBox 29">
            <a:extLst>
              <a:ext uri="{FF2B5EF4-FFF2-40B4-BE49-F238E27FC236}">
                <a16:creationId xmlns:a16="http://schemas.microsoft.com/office/drawing/2014/main" id="{8539B9C9-D59E-4F24-B957-EFA9C5234FB1}"/>
              </a:ext>
            </a:extLst>
          </xdr:cNvPr>
          <xdr:cNvSpPr txBox="1"/>
        </xdr:nvSpPr>
        <xdr:spPr>
          <a:xfrm>
            <a:off x="177800" y="2611436"/>
            <a:ext cx="273050" cy="36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a:t>
            </a:r>
            <a:r>
              <a:rPr lang="en-US"/>
              <a:t> </a:t>
            </a:r>
            <a:endParaRPr lang="en-US" sz="1100"/>
          </a:p>
        </xdr:txBody>
      </xdr:sp>
    </xdr:grpSp>
    <xdr:clientData/>
  </xdr:twoCellAnchor>
  <xdr:twoCellAnchor>
    <xdr:from>
      <xdr:col>3</xdr:col>
      <xdr:colOff>30726</xdr:colOff>
      <xdr:row>0</xdr:row>
      <xdr:rowOff>40968</xdr:rowOff>
    </xdr:from>
    <xdr:to>
      <xdr:col>8</xdr:col>
      <xdr:colOff>581025</xdr:colOff>
      <xdr:row>11</xdr:row>
      <xdr:rowOff>139700</xdr:rowOff>
    </xdr:to>
    <xdr:graphicFrame macro="">
      <xdr:nvGraphicFramePr>
        <xdr:cNvPr id="32" name="Chart 31">
          <a:extLst>
            <a:ext uri="{FF2B5EF4-FFF2-40B4-BE49-F238E27FC236}">
              <a16:creationId xmlns:a16="http://schemas.microsoft.com/office/drawing/2014/main" id="{B3995E11-79D9-4352-A4E8-4E872FE1E3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583790</xdr:colOff>
      <xdr:row>0</xdr:row>
      <xdr:rowOff>30726</xdr:rowOff>
    </xdr:from>
    <xdr:to>
      <xdr:col>14</xdr:col>
      <xdr:colOff>196850</xdr:colOff>
      <xdr:row>12</xdr:row>
      <xdr:rowOff>20484</xdr:rowOff>
    </xdr:to>
    <xdr:sp macro="" textlink="">
      <xdr:nvSpPr>
        <xdr:cNvPr id="43" name="Rectangle 42">
          <a:extLst>
            <a:ext uri="{FF2B5EF4-FFF2-40B4-BE49-F238E27FC236}">
              <a16:creationId xmlns:a16="http://schemas.microsoft.com/office/drawing/2014/main" id="{383896D6-12BC-4DBC-A48F-B6FA93EA851E}"/>
            </a:ext>
          </a:extLst>
        </xdr:cNvPr>
        <xdr:cNvSpPr/>
      </xdr:nvSpPr>
      <xdr:spPr>
        <a:xfrm>
          <a:off x="5674032" y="30726"/>
          <a:ext cx="3545963" cy="2079113"/>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mc:AlternateContent xmlns:mc="http://schemas.openxmlformats.org/markup-compatibility/2006">
    <mc:Choice xmlns:a14="http://schemas.microsoft.com/office/drawing/2010/main" Requires="a14">
      <xdr:twoCellAnchor>
        <xdr:from>
          <xdr:col>9</xdr:col>
          <xdr:colOff>330730</xdr:colOff>
          <xdr:row>3</xdr:row>
          <xdr:rowOff>109048</xdr:rowOff>
        </xdr:from>
        <xdr:to>
          <xdr:col>13</xdr:col>
          <xdr:colOff>590020</xdr:colOff>
          <xdr:row>10</xdr:row>
          <xdr:rowOff>60315</xdr:rowOff>
        </xdr:to>
        <xdr:pic>
          <xdr:nvPicPr>
            <xdr:cNvPr id="41" name="Picture 40">
              <a:extLst>
                <a:ext uri="{FF2B5EF4-FFF2-40B4-BE49-F238E27FC236}">
                  <a16:creationId xmlns:a16="http://schemas.microsoft.com/office/drawing/2014/main" id="{8A5E2A3B-6726-4C38-9EC4-4937AC13E59D}"/>
                </a:ext>
              </a:extLst>
            </xdr:cNvPr>
            <xdr:cNvPicPr>
              <a:picLocks noChangeAspect="1" noChangeArrowheads="1"/>
              <a:extLst>
                <a:ext uri="{84589F7E-364E-4C9E-8A38-B11213B215E9}">
                  <a14:cameraTool cellRange="Sheet2!$H$4:$K$9" spid="_x0000_s1052"/>
                </a:ext>
              </a:extLst>
            </xdr:cNvPicPr>
          </xdr:nvPicPr>
          <xdr:blipFill>
            <a:blip xmlns:r="http://schemas.openxmlformats.org/officeDocument/2006/relationships" r:embed="rId10"/>
            <a:srcRect/>
            <a:stretch>
              <a:fillRect/>
            </a:stretch>
          </xdr:blipFill>
          <xdr:spPr bwMode="auto">
            <a:xfrm>
              <a:off x="6090180" y="642448"/>
              <a:ext cx="2900890" cy="119586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14</xdr:col>
      <xdr:colOff>225798</xdr:colOff>
      <xdr:row>0</xdr:row>
      <xdr:rowOff>0</xdr:rowOff>
    </xdr:from>
    <xdr:to>
      <xdr:col>19</xdr:col>
      <xdr:colOff>126999</xdr:colOff>
      <xdr:row>12</xdr:row>
      <xdr:rowOff>10242</xdr:rowOff>
    </xdr:to>
    <xdr:graphicFrame macro="">
      <xdr:nvGraphicFramePr>
        <xdr:cNvPr id="44" name="Chart 43">
          <a:extLst>
            <a:ext uri="{FF2B5EF4-FFF2-40B4-BE49-F238E27FC236}">
              <a16:creationId xmlns:a16="http://schemas.microsoft.com/office/drawing/2014/main" id="{5613E7C4-1655-47F9-A3D2-47D5FF1A2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205453</xdr:colOff>
      <xdr:row>11</xdr:row>
      <xdr:rowOff>173703</xdr:rowOff>
    </xdr:from>
    <xdr:to>
      <xdr:col>8</xdr:col>
      <xdr:colOff>563306</xdr:colOff>
      <xdr:row>37</xdr:row>
      <xdr:rowOff>129253</xdr:rowOff>
    </xdr:to>
    <xdr:graphicFrame macro="">
      <xdr:nvGraphicFramePr>
        <xdr:cNvPr id="47" name="Chart 46">
          <a:extLst>
            <a:ext uri="{FF2B5EF4-FFF2-40B4-BE49-F238E27FC236}">
              <a16:creationId xmlns:a16="http://schemas.microsoft.com/office/drawing/2014/main" id="{F36C4BD1-6EE5-45CE-94B5-745DC3E10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571500</xdr:colOff>
      <xdr:row>29</xdr:row>
      <xdr:rowOff>127000</xdr:rowOff>
    </xdr:from>
    <xdr:to>
      <xdr:col>6</xdr:col>
      <xdr:colOff>457200</xdr:colOff>
      <xdr:row>36</xdr:row>
      <xdr:rowOff>114300</xdr:rowOff>
    </xdr:to>
    <xdr:graphicFrame macro="">
      <xdr:nvGraphicFramePr>
        <xdr:cNvPr id="48" name="Chart 47">
          <a:extLst>
            <a:ext uri="{FF2B5EF4-FFF2-40B4-BE49-F238E27FC236}">
              <a16:creationId xmlns:a16="http://schemas.microsoft.com/office/drawing/2014/main" id="{F22603CB-91F7-471E-8A3F-9A96FBBD5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607785</xdr:colOff>
      <xdr:row>12</xdr:row>
      <xdr:rowOff>37132</xdr:rowOff>
    </xdr:from>
    <xdr:to>
      <xdr:col>14</xdr:col>
      <xdr:colOff>202587</xdr:colOff>
      <xdr:row>37</xdr:row>
      <xdr:rowOff>110408</xdr:rowOff>
    </xdr:to>
    <mc:AlternateContent xmlns:mc="http://schemas.openxmlformats.org/markup-compatibility/2006">
      <mc:Choice xmlns:cx4="http://schemas.microsoft.com/office/drawing/2016/5/10/chartex" Requires="cx4">
        <xdr:graphicFrame macro="">
          <xdr:nvGraphicFramePr>
            <xdr:cNvPr id="50" name="Chart 49">
              <a:extLst>
                <a:ext uri="{FF2B5EF4-FFF2-40B4-BE49-F238E27FC236}">
                  <a16:creationId xmlns:a16="http://schemas.microsoft.com/office/drawing/2014/main" id="{CDAA355B-2741-46C1-A87C-FB58B30EF7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5698027" y="2126487"/>
              <a:ext cx="3527705" cy="442609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344334</xdr:colOff>
      <xdr:row>15</xdr:row>
      <xdr:rowOff>25604</xdr:rowOff>
    </xdr:from>
    <xdr:to>
      <xdr:col>13</xdr:col>
      <xdr:colOff>534834</xdr:colOff>
      <xdr:row>18</xdr:row>
      <xdr:rowOff>53667</xdr:rowOff>
    </xdr:to>
    <mc:AlternateContent xmlns:mc="http://schemas.openxmlformats.org/markup-compatibility/2006">
      <mc:Choice xmlns:cx4="http://schemas.microsoft.com/office/drawing/2016/5/10/chartex" Requires="cx4">
        <xdr:graphicFrame macro="">
          <xdr:nvGraphicFramePr>
            <xdr:cNvPr id="49" name="Chart 48">
              <a:extLst>
                <a:ext uri="{FF2B5EF4-FFF2-40B4-BE49-F238E27FC236}">
                  <a16:creationId xmlns:a16="http://schemas.microsoft.com/office/drawing/2014/main" id="{75C90709-E210-4F94-B439-8305D0E731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8056511" y="2637298"/>
              <a:ext cx="845984" cy="5504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259121</xdr:colOff>
      <xdr:row>12</xdr:row>
      <xdr:rowOff>47932</xdr:rowOff>
    </xdr:from>
    <xdr:to>
      <xdr:col>19</xdr:col>
      <xdr:colOff>133145</xdr:colOff>
      <xdr:row>23</xdr:row>
      <xdr:rowOff>102419</xdr:rowOff>
    </xdr:to>
    <xdr:graphicFrame macro="">
      <xdr:nvGraphicFramePr>
        <xdr:cNvPr id="51" name="Chart 50">
          <a:extLst>
            <a:ext uri="{FF2B5EF4-FFF2-40B4-BE49-F238E27FC236}">
              <a16:creationId xmlns:a16="http://schemas.microsoft.com/office/drawing/2014/main" id="{BB1E6CBE-4617-44DF-AED7-0E784651DA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283087</xdr:colOff>
      <xdr:row>23</xdr:row>
      <xdr:rowOff>140724</xdr:rowOff>
    </xdr:from>
    <xdr:to>
      <xdr:col>19</xdr:col>
      <xdr:colOff>79887</xdr:colOff>
      <xdr:row>37</xdr:row>
      <xdr:rowOff>77224</xdr:rowOff>
    </xdr:to>
    <xdr:graphicFrame macro="">
      <xdr:nvGraphicFramePr>
        <xdr:cNvPr id="52" name="Chart 51">
          <a:extLst>
            <a:ext uri="{FF2B5EF4-FFF2-40B4-BE49-F238E27FC236}">
              <a16:creationId xmlns:a16="http://schemas.microsoft.com/office/drawing/2014/main" id="{C74BE3E3-1AF8-425A-AEC3-302A0B733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70873</xdr:colOff>
      <xdr:row>17</xdr:row>
      <xdr:rowOff>163461</xdr:rowOff>
    </xdr:from>
    <xdr:to>
      <xdr:col>1</xdr:col>
      <xdr:colOff>1239274</xdr:colOff>
      <xdr:row>27</xdr:row>
      <xdr:rowOff>52848</xdr:rowOff>
    </xdr:to>
    <mc:AlternateContent xmlns:mc="http://schemas.openxmlformats.org/markup-compatibility/2006">
      <mc:Choice xmlns:a14="http://schemas.microsoft.com/office/drawing/2010/main" Requires="a14">
        <xdr:graphicFrame macro="">
          <xdr:nvGraphicFramePr>
            <xdr:cNvPr id="53" name="Order Mode">
              <a:extLst>
                <a:ext uri="{FF2B5EF4-FFF2-40B4-BE49-F238E27FC236}">
                  <a16:creationId xmlns:a16="http://schemas.microsoft.com/office/drawing/2014/main" id="{23BFFA8A-66DA-4D97-85B5-34B7D6C23531}"/>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70873" y="3087107"/>
              <a:ext cx="1419755" cy="1609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104058</xdr:colOff>
      <xdr:row>27</xdr:row>
      <xdr:rowOff>131711</xdr:rowOff>
    </xdr:from>
    <xdr:to>
      <xdr:col>1</xdr:col>
      <xdr:colOff>1249517</xdr:colOff>
      <xdr:row>35</xdr:row>
      <xdr:rowOff>148692</xdr:rowOff>
    </xdr:to>
    <mc:AlternateContent xmlns:mc="http://schemas.openxmlformats.org/markup-compatibility/2006">
      <mc:Choice xmlns:a14="http://schemas.microsoft.com/office/drawing/2010/main" Requires="a14">
        <xdr:graphicFrame macro="">
          <xdr:nvGraphicFramePr>
            <xdr:cNvPr id="54" name="Customer Gender">
              <a:extLst>
                <a:ext uri="{FF2B5EF4-FFF2-40B4-BE49-F238E27FC236}">
                  <a16:creationId xmlns:a16="http://schemas.microsoft.com/office/drawing/2014/main" id="{FA58B745-ABB6-41C7-B65A-CC3247B6F0F9}"/>
                </a:ext>
              </a:extLst>
            </xdr:cNvPr>
            <xdr:cNvGraphicFramePr/>
          </xdr:nvGraphicFramePr>
          <xdr:xfrm>
            <a:off x="0" y="0"/>
            <a:ext cx="0" cy="0"/>
          </xdr:xfrm>
          <a:graphic>
            <a:graphicData uri="http://schemas.microsoft.com/office/drawing/2010/slicer">
              <sle:slicer xmlns:sle="http://schemas.microsoft.com/office/drawing/2010/slicer" name="Customer Gender"/>
            </a:graphicData>
          </a:graphic>
        </xdr:graphicFrame>
      </mc:Choice>
      <mc:Fallback>
        <xdr:sp macro="" textlink="">
          <xdr:nvSpPr>
            <xdr:cNvPr id="0" name=""/>
            <xdr:cNvSpPr>
              <a:spLocks noTextEdit="1"/>
            </xdr:cNvSpPr>
          </xdr:nvSpPr>
          <xdr:spPr>
            <a:xfrm>
              <a:off x="104058" y="4775149"/>
              <a:ext cx="1396813" cy="13928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993.117375925925" createdVersion="7" refreshedVersion="7" minRefreshableVersion="3" recordCount="2400" xr:uid="{98EC6797-4F19-4D8B-9278-D68882621741}">
  <cacheSource type="worksheet">
    <worksheetSource name="orders"/>
  </cacheSource>
  <cacheFields count="17">
    <cacheField name="TX ID" numFmtId="0">
      <sharedItems count="2400">
        <s v="TX500001"/>
        <s v="TX500002"/>
        <s v="TX500003"/>
        <s v="TX500004"/>
        <s v="TX500005"/>
        <s v="TX500006"/>
        <s v="TX500007"/>
        <s v="TX500008"/>
        <s v="TX500009"/>
        <s v="TX500010"/>
        <s v="TX500011"/>
        <s v="TX500012"/>
        <s v="TX500013"/>
        <s v="TX500014"/>
        <s v="TX500015"/>
        <s v="TX500016"/>
        <s v="TX500017"/>
        <s v="TX500018"/>
        <s v="TX500019"/>
        <s v="TX500020"/>
        <s v="TX500021"/>
        <s v="TX500022"/>
        <s v="TX500023"/>
        <s v="TX500024"/>
        <s v="TX500025"/>
        <s v="TX500026"/>
        <s v="TX500027"/>
        <s v="TX500028"/>
        <s v="TX500029"/>
        <s v="TX500030"/>
        <s v="TX500031"/>
        <s v="TX500032"/>
        <s v="TX500033"/>
        <s v="TX500034"/>
        <s v="TX500035"/>
        <s v="TX500036"/>
        <s v="TX500037"/>
        <s v="TX500038"/>
        <s v="TX500039"/>
        <s v="TX500040"/>
        <s v="TX500041"/>
        <s v="TX500042"/>
        <s v="TX500043"/>
        <s v="TX500044"/>
        <s v="TX500045"/>
        <s v="TX500046"/>
        <s v="TX500047"/>
        <s v="TX500048"/>
        <s v="TX500049"/>
        <s v="TX500050"/>
        <s v="TX500051"/>
        <s v="TX500052"/>
        <s v="TX500053"/>
        <s v="TX500054"/>
        <s v="TX500055"/>
        <s v="TX500056"/>
        <s v="TX500057"/>
        <s v="TX500058"/>
        <s v="TX500059"/>
        <s v="TX500060"/>
        <s v="TX500061"/>
        <s v="TX500062"/>
        <s v="TX500063"/>
        <s v="TX500064"/>
        <s v="TX500065"/>
        <s v="TX500066"/>
        <s v="TX500067"/>
        <s v="TX500068"/>
        <s v="TX500069"/>
        <s v="TX500070"/>
        <s v="TX500071"/>
        <s v="TX500072"/>
        <s v="TX500073"/>
        <s v="TX500074"/>
        <s v="TX500075"/>
        <s v="TX500076"/>
        <s v="TX500077"/>
        <s v="TX500078"/>
        <s v="TX500079"/>
        <s v="TX500080"/>
        <s v="TX500081"/>
        <s v="TX500082"/>
        <s v="TX500083"/>
        <s v="TX500084"/>
        <s v="TX500085"/>
        <s v="TX500086"/>
        <s v="TX500087"/>
        <s v="TX500088"/>
        <s v="TX500089"/>
        <s v="TX500090"/>
        <s v="TX500091"/>
        <s v="TX500092"/>
        <s v="TX500093"/>
        <s v="TX500094"/>
        <s v="TX500095"/>
        <s v="TX500096"/>
        <s v="TX500097"/>
        <s v="TX500098"/>
        <s v="TX500099"/>
        <s v="TX500100"/>
        <s v="TX500101"/>
        <s v="TX500102"/>
        <s v="TX500103"/>
        <s v="TX500104"/>
        <s v="TX500105"/>
        <s v="TX500106"/>
        <s v="TX500107"/>
        <s v="TX500108"/>
        <s v="TX500109"/>
        <s v="TX500110"/>
        <s v="TX500111"/>
        <s v="TX500112"/>
        <s v="TX500113"/>
        <s v="TX500114"/>
        <s v="TX500115"/>
        <s v="TX500116"/>
        <s v="TX500117"/>
        <s v="TX500118"/>
        <s v="TX500119"/>
        <s v="TX500120"/>
        <s v="TX500121"/>
        <s v="TX500122"/>
        <s v="TX500123"/>
        <s v="TX500124"/>
        <s v="TX500125"/>
        <s v="TX500126"/>
        <s v="TX500127"/>
        <s v="TX500128"/>
        <s v="TX500129"/>
        <s v="TX500130"/>
        <s v="TX500131"/>
        <s v="TX500132"/>
        <s v="TX500133"/>
        <s v="TX500134"/>
        <s v="TX500135"/>
        <s v="TX500136"/>
        <s v="TX500137"/>
        <s v="TX500138"/>
        <s v="TX500139"/>
        <s v="TX500140"/>
        <s v="TX500141"/>
        <s v="TX500142"/>
        <s v="TX500143"/>
        <s v="TX500144"/>
        <s v="TX500145"/>
        <s v="TX500146"/>
        <s v="TX500147"/>
        <s v="TX500148"/>
        <s v="TX500149"/>
        <s v="TX500150"/>
        <s v="TX500151"/>
        <s v="TX500152"/>
        <s v="TX500153"/>
        <s v="TX500154"/>
        <s v="TX500155"/>
        <s v="TX500156"/>
        <s v="TX500157"/>
        <s v="TX500158"/>
        <s v="TX500159"/>
        <s v="TX500160"/>
        <s v="TX500161"/>
        <s v="TX500162"/>
        <s v="TX500163"/>
        <s v="TX500164"/>
        <s v="TX500165"/>
        <s v="TX500166"/>
        <s v="TX500167"/>
        <s v="TX500168"/>
        <s v="TX500169"/>
        <s v="TX500170"/>
        <s v="TX500171"/>
        <s v="TX500172"/>
        <s v="TX500173"/>
        <s v="TX500174"/>
        <s v="TX500175"/>
        <s v="TX500176"/>
        <s v="TX500177"/>
        <s v="TX500178"/>
        <s v="TX500179"/>
        <s v="TX500180"/>
        <s v="TX500181"/>
        <s v="TX500182"/>
        <s v="TX500183"/>
        <s v="TX500184"/>
        <s v="TX500185"/>
        <s v="TX500186"/>
        <s v="TX500187"/>
        <s v="TX500188"/>
        <s v="TX500189"/>
        <s v="TX500190"/>
        <s v="TX500191"/>
        <s v="TX500192"/>
        <s v="TX500193"/>
        <s v="TX500194"/>
        <s v="TX500195"/>
        <s v="TX500196"/>
        <s v="TX500197"/>
        <s v="TX500198"/>
        <s v="TX500199"/>
        <s v="TX500200"/>
        <s v="TX500201"/>
        <s v="TX500202"/>
        <s v="TX500203"/>
        <s v="TX500204"/>
        <s v="TX500205"/>
        <s v="TX500206"/>
        <s v="TX500207"/>
        <s v="TX500208"/>
        <s v="TX500209"/>
        <s v="TX500210"/>
        <s v="TX500211"/>
        <s v="TX500212"/>
        <s v="TX500213"/>
        <s v="TX500214"/>
        <s v="TX500215"/>
        <s v="TX500216"/>
        <s v="TX500217"/>
        <s v="TX500218"/>
        <s v="TX500219"/>
        <s v="TX500220"/>
        <s v="TX500221"/>
        <s v="TX500222"/>
        <s v="TX500223"/>
        <s v="TX500224"/>
        <s v="TX500225"/>
        <s v="TX500226"/>
        <s v="TX500227"/>
        <s v="TX500228"/>
        <s v="TX500229"/>
        <s v="TX500230"/>
        <s v="TX500231"/>
        <s v="TX500232"/>
        <s v="TX500233"/>
        <s v="TX500234"/>
        <s v="TX500235"/>
        <s v="TX500236"/>
        <s v="TX500237"/>
        <s v="TX500238"/>
        <s v="TX500239"/>
        <s v="TX500240"/>
        <s v="TX500241"/>
        <s v="TX500242"/>
        <s v="TX500243"/>
        <s v="TX500244"/>
        <s v="TX500245"/>
        <s v="TX500246"/>
        <s v="TX500247"/>
        <s v="TX500248"/>
        <s v="TX500249"/>
        <s v="TX500250"/>
        <s v="TX500251"/>
        <s v="TX500252"/>
        <s v="TX500253"/>
        <s v="TX500254"/>
        <s v="TX500255"/>
        <s v="TX500256"/>
        <s v="TX500257"/>
        <s v="TX500258"/>
        <s v="TX500259"/>
        <s v="TX500260"/>
        <s v="TX500261"/>
        <s v="TX500262"/>
        <s v="TX500263"/>
        <s v="TX500264"/>
        <s v="TX500265"/>
        <s v="TX500266"/>
        <s v="TX500267"/>
        <s v="TX500268"/>
        <s v="TX500269"/>
        <s v="TX500270"/>
        <s v="TX500271"/>
        <s v="TX500272"/>
        <s v="TX500273"/>
        <s v="TX500274"/>
        <s v="TX500275"/>
        <s v="TX500276"/>
        <s v="TX500277"/>
        <s v="TX500278"/>
        <s v="TX500279"/>
        <s v="TX500280"/>
        <s v="TX500281"/>
        <s v="TX500282"/>
        <s v="TX500283"/>
        <s v="TX500284"/>
        <s v="TX500285"/>
        <s v="TX500286"/>
        <s v="TX500287"/>
        <s v="TX500288"/>
        <s v="TX500289"/>
        <s v="TX500290"/>
        <s v="TX500291"/>
        <s v="TX500292"/>
        <s v="TX500293"/>
        <s v="TX500294"/>
        <s v="TX500295"/>
        <s v="TX500296"/>
        <s v="TX500297"/>
        <s v="TX500298"/>
        <s v="TX500299"/>
        <s v="TX500300"/>
        <s v="TX500301"/>
        <s v="TX500302"/>
        <s v="TX500303"/>
        <s v="TX500304"/>
        <s v="TX500305"/>
        <s v="TX500306"/>
        <s v="TX500307"/>
        <s v="TX500308"/>
        <s v="TX500309"/>
        <s v="TX500310"/>
        <s v="TX500311"/>
        <s v="TX500312"/>
        <s v="TX500313"/>
        <s v="TX500314"/>
        <s v="TX500315"/>
        <s v="TX500316"/>
        <s v="TX500317"/>
        <s v="TX500318"/>
        <s v="TX500319"/>
        <s v="TX500320"/>
        <s v="TX500321"/>
        <s v="TX500322"/>
        <s v="TX500323"/>
        <s v="TX500324"/>
        <s v="TX500325"/>
        <s v="TX500326"/>
        <s v="TX500327"/>
        <s v="TX500328"/>
        <s v="TX500329"/>
        <s v="TX500330"/>
        <s v="TX500331"/>
        <s v="TX500332"/>
        <s v="TX500333"/>
        <s v="TX500334"/>
        <s v="TX500335"/>
        <s v="TX500336"/>
        <s v="TX500337"/>
        <s v="TX500338"/>
        <s v="TX500339"/>
        <s v="TX500340"/>
        <s v="TX500341"/>
        <s v="TX500342"/>
        <s v="TX500343"/>
        <s v="TX500344"/>
        <s v="TX500345"/>
        <s v="TX500346"/>
        <s v="TX500347"/>
        <s v="TX500348"/>
        <s v="TX500349"/>
        <s v="TX500350"/>
        <s v="TX500351"/>
        <s v="TX500352"/>
        <s v="TX500353"/>
        <s v="TX500354"/>
        <s v="TX500355"/>
        <s v="TX500356"/>
        <s v="TX500357"/>
        <s v="TX500358"/>
        <s v="TX500359"/>
        <s v="TX500360"/>
        <s v="TX500361"/>
        <s v="TX500362"/>
        <s v="TX500363"/>
        <s v="TX500364"/>
        <s v="TX500365"/>
        <s v="TX500366"/>
        <s v="TX500367"/>
        <s v="TX500368"/>
        <s v="TX500369"/>
        <s v="TX500370"/>
        <s v="TX500371"/>
        <s v="TX500372"/>
        <s v="TX500373"/>
        <s v="TX500374"/>
        <s v="TX500375"/>
        <s v="TX500376"/>
        <s v="TX500377"/>
        <s v="TX500378"/>
        <s v="TX500379"/>
        <s v="TX500380"/>
        <s v="TX500381"/>
        <s v="TX500382"/>
        <s v="TX500383"/>
        <s v="TX500384"/>
        <s v="TX500385"/>
        <s v="TX500386"/>
        <s v="TX500387"/>
        <s v="TX500388"/>
        <s v="TX500389"/>
        <s v="TX500390"/>
        <s v="TX500391"/>
        <s v="TX500392"/>
        <s v="TX500393"/>
        <s v="TX500394"/>
        <s v="TX500395"/>
        <s v="TX500396"/>
        <s v="TX500397"/>
        <s v="TX500398"/>
        <s v="TX500399"/>
        <s v="TX500400"/>
        <s v="TX500401"/>
        <s v="TX500402"/>
        <s v="TX500403"/>
        <s v="TX500404"/>
        <s v="TX500405"/>
        <s v="TX500406"/>
        <s v="TX500407"/>
        <s v="TX500408"/>
        <s v="TX500409"/>
        <s v="TX500410"/>
        <s v="TX500411"/>
        <s v="TX500412"/>
        <s v="TX500413"/>
        <s v="TX500414"/>
        <s v="TX500415"/>
        <s v="TX500416"/>
        <s v="TX500417"/>
        <s v="TX500418"/>
        <s v="TX500419"/>
        <s v="TX500420"/>
        <s v="TX500421"/>
        <s v="TX500422"/>
        <s v="TX500423"/>
        <s v="TX500424"/>
        <s v="TX500425"/>
        <s v="TX500426"/>
        <s v="TX500427"/>
        <s v="TX500428"/>
        <s v="TX500429"/>
        <s v="TX500430"/>
        <s v="TX500431"/>
        <s v="TX500432"/>
        <s v="TX500433"/>
        <s v="TX500434"/>
        <s v="TX500435"/>
        <s v="TX500436"/>
        <s v="TX500437"/>
        <s v="TX500438"/>
        <s v="TX500439"/>
        <s v="TX500440"/>
        <s v="TX500441"/>
        <s v="TX500442"/>
        <s v="TX500443"/>
        <s v="TX500444"/>
        <s v="TX500445"/>
        <s v="TX500446"/>
        <s v="TX500447"/>
        <s v="TX500448"/>
        <s v="TX500449"/>
        <s v="TX500450"/>
        <s v="TX500451"/>
        <s v="TX500452"/>
        <s v="TX500453"/>
        <s v="TX500454"/>
        <s v="TX500455"/>
        <s v="TX500456"/>
        <s v="TX500457"/>
        <s v="TX500458"/>
        <s v="TX500459"/>
        <s v="TX500460"/>
        <s v="TX500461"/>
        <s v="TX500462"/>
        <s v="TX500463"/>
        <s v="TX500464"/>
        <s v="TX500465"/>
        <s v="TX500466"/>
        <s v="TX500467"/>
        <s v="TX500468"/>
        <s v="TX500469"/>
        <s v="TX500470"/>
        <s v="TX500471"/>
        <s v="TX500472"/>
        <s v="TX500473"/>
        <s v="TX500474"/>
        <s v="TX500475"/>
        <s v="TX500476"/>
        <s v="TX500477"/>
        <s v="TX500478"/>
        <s v="TX500479"/>
        <s v="TX500480"/>
        <s v="TX500481"/>
        <s v="TX500482"/>
        <s v="TX500483"/>
        <s v="TX500484"/>
        <s v="TX500485"/>
        <s v="TX500486"/>
        <s v="TX500487"/>
        <s v="TX500488"/>
        <s v="TX500489"/>
        <s v="TX500490"/>
        <s v="TX500491"/>
        <s v="TX500492"/>
        <s v="TX500493"/>
        <s v="TX500494"/>
        <s v="TX500495"/>
        <s v="TX500496"/>
        <s v="TX500497"/>
        <s v="TX500498"/>
        <s v="TX500499"/>
        <s v="TX500500"/>
        <s v="TX500501"/>
        <s v="TX500502"/>
        <s v="TX500503"/>
        <s v="TX500504"/>
        <s v="TX500505"/>
        <s v="TX500506"/>
        <s v="TX500507"/>
        <s v="TX500508"/>
        <s v="TX500509"/>
        <s v="TX500510"/>
        <s v="TX500511"/>
        <s v="TX500512"/>
        <s v="TX500513"/>
        <s v="TX500514"/>
        <s v="TX500515"/>
        <s v="TX500516"/>
        <s v="TX500517"/>
        <s v="TX500518"/>
        <s v="TX500519"/>
        <s v="TX500520"/>
        <s v="TX500521"/>
        <s v="TX500522"/>
        <s v="TX500523"/>
        <s v="TX500524"/>
        <s v="TX500525"/>
        <s v="TX500526"/>
        <s v="TX500527"/>
        <s v="TX500528"/>
        <s v="TX500529"/>
        <s v="TX500530"/>
        <s v="TX500531"/>
        <s v="TX500532"/>
        <s v="TX500533"/>
        <s v="TX500534"/>
        <s v="TX500535"/>
        <s v="TX500536"/>
        <s v="TX500537"/>
        <s v="TX500538"/>
        <s v="TX500539"/>
        <s v="TX500540"/>
        <s v="TX500541"/>
        <s v="TX500542"/>
        <s v="TX500543"/>
        <s v="TX500544"/>
        <s v="TX500545"/>
        <s v="TX500546"/>
        <s v="TX500547"/>
        <s v="TX500548"/>
        <s v="TX500549"/>
        <s v="TX500550"/>
        <s v="TX500551"/>
        <s v="TX500552"/>
        <s v="TX500553"/>
        <s v="TX500554"/>
        <s v="TX500555"/>
        <s v="TX500556"/>
        <s v="TX500557"/>
        <s v="TX500558"/>
        <s v="TX500559"/>
        <s v="TX500560"/>
        <s v="TX500561"/>
        <s v="TX500562"/>
        <s v="TX500563"/>
        <s v="TX500564"/>
        <s v="TX500565"/>
        <s v="TX500566"/>
        <s v="TX500567"/>
        <s v="TX500568"/>
        <s v="TX500569"/>
        <s v="TX500570"/>
        <s v="TX500571"/>
        <s v="TX500572"/>
        <s v="TX500573"/>
        <s v="TX500574"/>
        <s v="TX500575"/>
        <s v="TX500576"/>
        <s v="TX500577"/>
        <s v="TX500578"/>
        <s v="TX500579"/>
        <s v="TX500580"/>
        <s v="TX500581"/>
        <s v="TX500582"/>
        <s v="TX500583"/>
        <s v="TX500584"/>
        <s v="TX500585"/>
        <s v="TX500586"/>
        <s v="TX500587"/>
        <s v="TX500588"/>
        <s v="TX500589"/>
        <s v="TX500590"/>
        <s v="TX500591"/>
        <s v="TX500592"/>
        <s v="TX500593"/>
        <s v="TX500594"/>
        <s v="TX500595"/>
        <s v="TX500596"/>
        <s v="TX500597"/>
        <s v="TX500598"/>
        <s v="TX500599"/>
        <s v="TX500600"/>
        <s v="TX500601"/>
        <s v="TX500602"/>
        <s v="TX500603"/>
        <s v="TX500604"/>
        <s v="TX500605"/>
        <s v="TX500606"/>
        <s v="TX500607"/>
        <s v="TX500608"/>
        <s v="TX500609"/>
        <s v="TX500610"/>
        <s v="TX500611"/>
        <s v="TX500612"/>
        <s v="TX500613"/>
        <s v="TX500614"/>
        <s v="TX500615"/>
        <s v="TX500616"/>
        <s v="TX500617"/>
        <s v="TX500618"/>
        <s v="TX500619"/>
        <s v="TX500620"/>
        <s v="TX500621"/>
        <s v="TX500622"/>
        <s v="TX500623"/>
        <s v="TX500624"/>
        <s v="TX500625"/>
        <s v="TX500626"/>
        <s v="TX500627"/>
        <s v="TX500628"/>
        <s v="TX500629"/>
        <s v="TX500630"/>
        <s v="TX500631"/>
        <s v="TX500632"/>
        <s v="TX500633"/>
        <s v="TX500634"/>
        <s v="TX500635"/>
        <s v="TX500636"/>
        <s v="TX500637"/>
        <s v="TX500638"/>
        <s v="TX500639"/>
        <s v="TX500640"/>
        <s v="TX500641"/>
        <s v="TX500642"/>
        <s v="TX500643"/>
        <s v="TX500644"/>
        <s v="TX500645"/>
        <s v="TX500646"/>
        <s v="TX500647"/>
        <s v="TX500648"/>
        <s v="TX500649"/>
        <s v="TX500650"/>
        <s v="TX500651"/>
        <s v="TX500652"/>
        <s v="TX500653"/>
        <s v="TX500654"/>
        <s v="TX500655"/>
        <s v="TX500656"/>
        <s v="TX500657"/>
        <s v="TX500658"/>
        <s v="TX500659"/>
        <s v="TX500660"/>
        <s v="TX500661"/>
        <s v="TX500662"/>
        <s v="TX500663"/>
        <s v="TX500664"/>
        <s v="TX500665"/>
        <s v="TX500666"/>
        <s v="TX500667"/>
        <s v="TX500668"/>
        <s v="TX500669"/>
        <s v="TX500670"/>
        <s v="TX500671"/>
        <s v="TX500672"/>
        <s v="TX500673"/>
        <s v="TX500674"/>
        <s v="TX500675"/>
        <s v="TX500676"/>
        <s v="TX500677"/>
        <s v="TX500678"/>
        <s v="TX500679"/>
        <s v="TX500680"/>
        <s v="TX500681"/>
        <s v="TX500682"/>
        <s v="TX500683"/>
        <s v="TX500684"/>
        <s v="TX500685"/>
        <s v="TX500686"/>
        <s v="TX500687"/>
        <s v="TX500688"/>
        <s v="TX500689"/>
        <s v="TX500690"/>
        <s v="TX500691"/>
        <s v="TX500692"/>
        <s v="TX500693"/>
        <s v="TX500694"/>
        <s v="TX500695"/>
        <s v="TX500696"/>
        <s v="TX500697"/>
        <s v="TX500698"/>
        <s v="TX500699"/>
        <s v="TX500700"/>
        <s v="TX500701"/>
        <s v="TX500702"/>
        <s v="TX500703"/>
        <s v="TX500704"/>
        <s v="TX500705"/>
        <s v="TX500706"/>
        <s v="TX500707"/>
        <s v="TX500708"/>
        <s v="TX500709"/>
        <s v="TX500710"/>
        <s v="TX500711"/>
        <s v="TX500712"/>
        <s v="TX500713"/>
        <s v="TX500714"/>
        <s v="TX500715"/>
        <s v="TX500716"/>
        <s v="TX500717"/>
        <s v="TX500718"/>
        <s v="TX500719"/>
        <s v="TX500720"/>
        <s v="TX500721"/>
        <s v="TX500722"/>
        <s v="TX500723"/>
        <s v="TX500724"/>
        <s v="TX500725"/>
        <s v="TX500726"/>
        <s v="TX500727"/>
        <s v="TX500728"/>
        <s v="TX500729"/>
        <s v="TX500730"/>
        <s v="TX500731"/>
        <s v="TX500732"/>
        <s v="TX500733"/>
        <s v="TX500734"/>
        <s v="TX500735"/>
        <s v="TX500736"/>
        <s v="TX500737"/>
        <s v="TX500738"/>
        <s v="TX500739"/>
        <s v="TX500740"/>
        <s v="TX500741"/>
        <s v="TX500742"/>
        <s v="TX500743"/>
        <s v="TX500744"/>
        <s v="TX500745"/>
        <s v="TX500746"/>
        <s v="TX500747"/>
        <s v="TX500748"/>
        <s v="TX500749"/>
        <s v="TX500750"/>
        <s v="TX500751"/>
        <s v="TX500752"/>
        <s v="TX500753"/>
        <s v="TX500754"/>
        <s v="TX500755"/>
        <s v="TX500756"/>
        <s v="TX500757"/>
        <s v="TX500758"/>
        <s v="TX500759"/>
        <s v="TX500760"/>
        <s v="TX500761"/>
        <s v="TX500762"/>
        <s v="TX500763"/>
        <s v="TX500764"/>
        <s v="TX500765"/>
        <s v="TX500766"/>
        <s v="TX500767"/>
        <s v="TX500768"/>
        <s v="TX500769"/>
        <s v="TX500770"/>
        <s v="TX500771"/>
        <s v="TX500772"/>
        <s v="TX500773"/>
        <s v="TX500774"/>
        <s v="TX500775"/>
        <s v="TX500776"/>
        <s v="TX500777"/>
        <s v="TX500778"/>
        <s v="TX500779"/>
        <s v="TX500780"/>
        <s v="TX500781"/>
        <s v="TX500782"/>
        <s v="TX500783"/>
        <s v="TX500784"/>
        <s v="TX500785"/>
        <s v="TX500786"/>
        <s v="TX500787"/>
        <s v="TX500788"/>
        <s v="TX500789"/>
        <s v="TX500790"/>
        <s v="TX500791"/>
        <s v="TX500792"/>
        <s v="TX500793"/>
        <s v="TX500794"/>
        <s v="TX500795"/>
        <s v="TX500796"/>
        <s v="TX500797"/>
        <s v="TX500798"/>
        <s v="TX500799"/>
        <s v="TX500800"/>
        <s v="TX500801"/>
        <s v="TX500802"/>
        <s v="TX500803"/>
        <s v="TX500804"/>
        <s v="TX500805"/>
        <s v="TX500806"/>
        <s v="TX500807"/>
        <s v="TX500808"/>
        <s v="TX500809"/>
        <s v="TX500810"/>
        <s v="TX500811"/>
        <s v="TX500812"/>
        <s v="TX500813"/>
        <s v="TX500814"/>
        <s v="TX500815"/>
        <s v="TX500816"/>
        <s v="TX500817"/>
        <s v="TX500818"/>
        <s v="TX500819"/>
        <s v="TX500820"/>
        <s v="TX500821"/>
        <s v="TX500822"/>
        <s v="TX500823"/>
        <s v="TX500824"/>
        <s v="TX500825"/>
        <s v="TX500826"/>
        <s v="TX500827"/>
        <s v="TX500828"/>
        <s v="TX500829"/>
        <s v="TX500830"/>
        <s v="TX500831"/>
        <s v="TX500832"/>
        <s v="TX500833"/>
        <s v="TX500834"/>
        <s v="TX500835"/>
        <s v="TX500836"/>
        <s v="TX500837"/>
        <s v="TX500838"/>
        <s v="TX500839"/>
        <s v="TX500840"/>
        <s v="TX500841"/>
        <s v="TX500842"/>
        <s v="TX500843"/>
        <s v="TX500844"/>
        <s v="TX500845"/>
        <s v="TX500846"/>
        <s v="TX500847"/>
        <s v="TX500848"/>
        <s v="TX500849"/>
        <s v="TX500850"/>
        <s v="TX500851"/>
        <s v="TX500852"/>
        <s v="TX500853"/>
        <s v="TX500854"/>
        <s v="TX500855"/>
        <s v="TX500856"/>
        <s v="TX500857"/>
        <s v="TX500858"/>
        <s v="TX500859"/>
        <s v="TX500860"/>
        <s v="TX500861"/>
        <s v="TX500862"/>
        <s v="TX500863"/>
        <s v="TX500864"/>
        <s v="TX500865"/>
        <s v="TX500866"/>
        <s v="TX500867"/>
        <s v="TX500868"/>
        <s v="TX500869"/>
        <s v="TX500870"/>
        <s v="TX500871"/>
        <s v="TX500872"/>
        <s v="TX500873"/>
        <s v="TX500874"/>
        <s v="TX500875"/>
        <s v="TX500876"/>
        <s v="TX500877"/>
        <s v="TX500878"/>
        <s v="TX500879"/>
        <s v="TX500880"/>
        <s v="TX500881"/>
        <s v="TX500882"/>
        <s v="TX500883"/>
        <s v="TX500884"/>
        <s v="TX500885"/>
        <s v="TX500886"/>
        <s v="TX500887"/>
        <s v="TX500888"/>
        <s v="TX500889"/>
        <s v="TX500890"/>
        <s v="TX500891"/>
        <s v="TX500892"/>
        <s v="TX500893"/>
        <s v="TX500894"/>
        <s v="TX500895"/>
        <s v="TX500896"/>
        <s v="TX500897"/>
        <s v="TX500898"/>
        <s v="TX500899"/>
        <s v="TX500900"/>
        <s v="TX500901"/>
        <s v="TX500902"/>
        <s v="TX500903"/>
        <s v="TX500904"/>
        <s v="TX500905"/>
        <s v="TX500906"/>
        <s v="TX500907"/>
        <s v="TX500908"/>
        <s v="TX500909"/>
        <s v="TX500910"/>
        <s v="TX500911"/>
        <s v="TX500912"/>
        <s v="TX500913"/>
        <s v="TX500914"/>
        <s v="TX500915"/>
        <s v="TX500916"/>
        <s v="TX500917"/>
        <s v="TX500918"/>
        <s v="TX500919"/>
        <s v="TX500920"/>
        <s v="TX500921"/>
        <s v="TX500922"/>
        <s v="TX500923"/>
        <s v="TX500924"/>
        <s v="TX500925"/>
        <s v="TX500926"/>
        <s v="TX500927"/>
        <s v="TX500928"/>
        <s v="TX500929"/>
        <s v="TX500930"/>
        <s v="TX500931"/>
        <s v="TX500932"/>
        <s v="TX500933"/>
        <s v="TX500934"/>
        <s v="TX500935"/>
        <s v="TX500936"/>
        <s v="TX500937"/>
        <s v="TX500938"/>
        <s v="TX500939"/>
        <s v="TX500940"/>
        <s v="TX500941"/>
        <s v="TX500942"/>
        <s v="TX500943"/>
        <s v="TX500944"/>
        <s v="TX500945"/>
        <s v="TX500946"/>
        <s v="TX500947"/>
        <s v="TX500948"/>
        <s v="TX500949"/>
        <s v="TX500950"/>
        <s v="TX500951"/>
        <s v="TX500952"/>
        <s v="TX500953"/>
        <s v="TX500954"/>
        <s v="TX500955"/>
        <s v="TX500956"/>
        <s v="TX500957"/>
        <s v="TX500958"/>
        <s v="TX500959"/>
        <s v="TX500960"/>
        <s v="TX500961"/>
        <s v="TX500962"/>
        <s v="TX500963"/>
        <s v="TX500964"/>
        <s v="TX500965"/>
        <s v="TX500966"/>
        <s v="TX500967"/>
        <s v="TX500968"/>
        <s v="TX500969"/>
        <s v="TX500970"/>
        <s v="TX500971"/>
        <s v="TX500972"/>
        <s v="TX500973"/>
        <s v="TX500974"/>
        <s v="TX500975"/>
        <s v="TX500976"/>
        <s v="TX500977"/>
        <s v="TX500978"/>
        <s v="TX500979"/>
        <s v="TX500980"/>
        <s v="TX500981"/>
        <s v="TX500982"/>
        <s v="TX500983"/>
        <s v="TX500984"/>
        <s v="TX500985"/>
        <s v="TX500986"/>
        <s v="TX500987"/>
        <s v="TX500988"/>
        <s v="TX500989"/>
        <s v="TX500990"/>
        <s v="TX500991"/>
        <s v="TX500992"/>
        <s v="TX500993"/>
        <s v="TX500994"/>
        <s v="TX500995"/>
        <s v="TX500996"/>
        <s v="TX500997"/>
        <s v="TX500998"/>
        <s v="TX500999"/>
        <s v="TX501000"/>
        <s v="TX501001"/>
        <s v="TX501002"/>
        <s v="TX501003"/>
        <s v="TX501004"/>
        <s v="TX501005"/>
        <s v="TX501006"/>
        <s v="TX501007"/>
        <s v="TX501008"/>
        <s v="TX501009"/>
        <s v="TX501010"/>
        <s v="TX501011"/>
        <s v="TX501012"/>
        <s v="TX501013"/>
        <s v="TX501014"/>
        <s v="TX501015"/>
        <s v="TX501016"/>
        <s v="TX501017"/>
        <s v="TX501018"/>
        <s v="TX501019"/>
        <s v="TX501020"/>
        <s v="TX501021"/>
        <s v="TX501022"/>
        <s v="TX501023"/>
        <s v="TX501024"/>
        <s v="TX501025"/>
        <s v="TX501026"/>
        <s v="TX501027"/>
        <s v="TX501028"/>
        <s v="TX501029"/>
        <s v="TX501030"/>
        <s v="TX501031"/>
        <s v="TX501032"/>
        <s v="TX501033"/>
        <s v="TX501034"/>
        <s v="TX501035"/>
        <s v="TX501036"/>
        <s v="TX501037"/>
        <s v="TX501038"/>
        <s v="TX501039"/>
        <s v="TX501040"/>
        <s v="TX501041"/>
        <s v="TX501042"/>
        <s v="TX501043"/>
        <s v="TX501044"/>
        <s v="TX501045"/>
        <s v="TX501046"/>
        <s v="TX501047"/>
        <s v="TX501048"/>
        <s v="TX501049"/>
        <s v="TX501050"/>
        <s v="TX501051"/>
        <s v="TX501052"/>
        <s v="TX501053"/>
        <s v="TX501054"/>
        <s v="TX501055"/>
        <s v="TX501056"/>
        <s v="TX501057"/>
        <s v="TX501058"/>
        <s v="TX501059"/>
        <s v="TX501060"/>
        <s v="TX501061"/>
        <s v="TX501062"/>
        <s v="TX501063"/>
        <s v="TX501064"/>
        <s v="TX501065"/>
        <s v="TX501066"/>
        <s v="TX501067"/>
        <s v="TX501068"/>
        <s v="TX501069"/>
        <s v="TX501070"/>
        <s v="TX501071"/>
        <s v="TX501072"/>
        <s v="TX501073"/>
        <s v="TX501074"/>
        <s v="TX501075"/>
        <s v="TX501076"/>
        <s v="TX501077"/>
        <s v="TX501078"/>
        <s v="TX501079"/>
        <s v="TX501080"/>
        <s v="TX501081"/>
        <s v="TX501082"/>
        <s v="TX501083"/>
        <s v="TX501084"/>
        <s v="TX501085"/>
        <s v="TX501086"/>
        <s v="TX501087"/>
        <s v="TX501088"/>
        <s v="TX501089"/>
        <s v="TX501090"/>
        <s v="TX501091"/>
        <s v="TX501092"/>
        <s v="TX501093"/>
        <s v="TX501094"/>
        <s v="TX501095"/>
        <s v="TX501096"/>
        <s v="TX501097"/>
        <s v="TX501098"/>
        <s v="TX501099"/>
        <s v="TX501100"/>
        <s v="TX501101"/>
        <s v="TX501102"/>
        <s v="TX501103"/>
        <s v="TX501104"/>
        <s v="TX501105"/>
        <s v="TX501106"/>
        <s v="TX501107"/>
        <s v="TX501108"/>
        <s v="TX501109"/>
        <s v="TX501110"/>
        <s v="TX501111"/>
        <s v="TX501112"/>
        <s v="TX501113"/>
        <s v="TX501114"/>
        <s v="TX501115"/>
        <s v="TX501116"/>
        <s v="TX501117"/>
        <s v="TX501118"/>
        <s v="TX501119"/>
        <s v="TX501120"/>
        <s v="TX501121"/>
        <s v="TX501122"/>
        <s v="TX501123"/>
        <s v="TX501124"/>
        <s v="TX501125"/>
        <s v="TX501126"/>
        <s v="TX501127"/>
        <s v="TX501128"/>
        <s v="TX501129"/>
        <s v="TX501130"/>
        <s v="TX501131"/>
        <s v="TX501132"/>
        <s v="TX501133"/>
        <s v="TX501134"/>
        <s v="TX501135"/>
        <s v="TX501136"/>
        <s v="TX501137"/>
        <s v="TX501138"/>
        <s v="TX501139"/>
        <s v="TX501140"/>
        <s v="TX501141"/>
        <s v="TX501142"/>
        <s v="TX501143"/>
        <s v="TX501144"/>
        <s v="TX501145"/>
        <s v="TX501146"/>
        <s v="TX501147"/>
        <s v="TX501148"/>
        <s v="TX501149"/>
        <s v="TX501150"/>
        <s v="TX501151"/>
        <s v="TX501152"/>
        <s v="TX501153"/>
        <s v="TX501154"/>
        <s v="TX501155"/>
        <s v="TX501156"/>
        <s v="TX501157"/>
        <s v="TX501158"/>
        <s v="TX501159"/>
        <s v="TX501160"/>
        <s v="TX501161"/>
        <s v="TX501162"/>
        <s v="TX501163"/>
        <s v="TX501164"/>
        <s v="TX501165"/>
        <s v="TX501166"/>
        <s v="TX501167"/>
        <s v="TX501168"/>
        <s v="TX501169"/>
        <s v="TX501170"/>
        <s v="TX501171"/>
        <s v="TX501172"/>
        <s v="TX501173"/>
        <s v="TX501174"/>
        <s v="TX501175"/>
        <s v="TX501176"/>
        <s v="TX501177"/>
        <s v="TX501178"/>
        <s v="TX501179"/>
        <s v="TX501180"/>
        <s v="TX501181"/>
        <s v="TX501182"/>
        <s v="TX501183"/>
        <s v="TX501184"/>
        <s v="TX501185"/>
        <s v="TX501186"/>
        <s v="TX501187"/>
        <s v="TX501188"/>
        <s v="TX501189"/>
        <s v="TX501190"/>
        <s v="TX501191"/>
        <s v="TX501192"/>
        <s v="TX501193"/>
        <s v="TX501194"/>
        <s v="TX501195"/>
        <s v="TX501196"/>
        <s v="TX501197"/>
        <s v="TX501198"/>
        <s v="TX501199"/>
        <s v="TX501200"/>
        <s v="TX501201"/>
        <s v="TX501202"/>
        <s v="TX501203"/>
        <s v="TX501204"/>
        <s v="TX501205"/>
        <s v="TX501206"/>
        <s v="TX501207"/>
        <s v="TX501208"/>
        <s v="TX501209"/>
        <s v="TX501210"/>
        <s v="TX501211"/>
        <s v="TX501212"/>
        <s v="TX501213"/>
        <s v="TX501214"/>
        <s v="TX501215"/>
        <s v="TX501216"/>
        <s v="TX501217"/>
        <s v="TX501218"/>
        <s v="TX501219"/>
        <s v="TX501220"/>
        <s v="TX501221"/>
        <s v="TX501222"/>
        <s v="TX501223"/>
        <s v="TX501224"/>
        <s v="TX501225"/>
        <s v="TX501226"/>
        <s v="TX501227"/>
        <s v="TX501228"/>
        <s v="TX501229"/>
        <s v="TX501230"/>
        <s v="TX501231"/>
        <s v="TX501232"/>
        <s v="TX501233"/>
        <s v="TX501234"/>
        <s v="TX501235"/>
        <s v="TX501236"/>
        <s v="TX501237"/>
        <s v="TX501238"/>
        <s v="TX501239"/>
        <s v="TX501240"/>
        <s v="TX501241"/>
        <s v="TX501242"/>
        <s v="TX501243"/>
        <s v="TX501244"/>
        <s v="TX501245"/>
        <s v="TX501246"/>
        <s v="TX501247"/>
        <s v="TX501248"/>
        <s v="TX501249"/>
        <s v="TX501250"/>
        <s v="TX501251"/>
        <s v="TX501252"/>
        <s v="TX501253"/>
        <s v="TX501254"/>
        <s v="TX501255"/>
        <s v="TX501256"/>
        <s v="TX501257"/>
        <s v="TX501258"/>
        <s v="TX501259"/>
        <s v="TX501260"/>
        <s v="TX501261"/>
        <s v="TX501262"/>
        <s v="TX501263"/>
        <s v="TX501264"/>
        <s v="TX501265"/>
        <s v="TX501266"/>
        <s v="TX501267"/>
        <s v="TX501268"/>
        <s v="TX501269"/>
        <s v="TX501270"/>
        <s v="TX501271"/>
        <s v="TX501272"/>
        <s v="TX501273"/>
        <s v="TX501274"/>
        <s v="TX501275"/>
        <s v="TX501276"/>
        <s v="TX501277"/>
        <s v="TX501278"/>
        <s v="TX501279"/>
        <s v="TX501280"/>
        <s v="TX501281"/>
        <s v="TX501282"/>
        <s v="TX501283"/>
        <s v="TX501284"/>
        <s v="TX501285"/>
        <s v="TX501286"/>
        <s v="TX501287"/>
        <s v="TX501288"/>
        <s v="TX501289"/>
        <s v="TX501290"/>
        <s v="TX501291"/>
        <s v="TX501292"/>
        <s v="TX501293"/>
        <s v="TX501294"/>
        <s v="TX501295"/>
        <s v="TX501296"/>
        <s v="TX501297"/>
        <s v="TX501298"/>
        <s v="TX501299"/>
        <s v="TX501300"/>
        <s v="TX501301"/>
        <s v="TX501302"/>
        <s v="TX501303"/>
        <s v="TX501304"/>
        <s v="TX501305"/>
        <s v="TX501306"/>
        <s v="TX501307"/>
        <s v="TX501308"/>
        <s v="TX501309"/>
        <s v="TX501310"/>
        <s v="TX501311"/>
        <s v="TX501312"/>
        <s v="TX501313"/>
        <s v="TX501314"/>
        <s v="TX501315"/>
        <s v="TX501316"/>
        <s v="TX501317"/>
        <s v="TX501318"/>
        <s v="TX501319"/>
        <s v="TX501320"/>
        <s v="TX501321"/>
        <s v="TX501322"/>
        <s v="TX501323"/>
        <s v="TX501324"/>
        <s v="TX501325"/>
        <s v="TX501326"/>
        <s v="TX501327"/>
        <s v="TX501328"/>
        <s v="TX501329"/>
        <s v="TX501330"/>
        <s v="TX501331"/>
        <s v="TX501332"/>
        <s v="TX501333"/>
        <s v="TX501334"/>
        <s v="TX501335"/>
        <s v="TX501336"/>
        <s v="TX501337"/>
        <s v="TX501338"/>
        <s v="TX501339"/>
        <s v="TX501340"/>
        <s v="TX501341"/>
        <s v="TX501342"/>
        <s v="TX501343"/>
        <s v="TX501344"/>
        <s v="TX501345"/>
        <s v="TX501346"/>
        <s v="TX501347"/>
        <s v="TX501348"/>
        <s v="TX501349"/>
        <s v="TX501350"/>
        <s v="TX501351"/>
        <s v="TX501352"/>
        <s v="TX501353"/>
        <s v="TX501354"/>
        <s v="TX501355"/>
        <s v="TX501356"/>
        <s v="TX501357"/>
        <s v="TX501358"/>
        <s v="TX501359"/>
        <s v="TX501360"/>
        <s v="TX501361"/>
        <s v="TX501362"/>
        <s v="TX501363"/>
        <s v="TX501364"/>
        <s v="TX501365"/>
        <s v="TX501366"/>
        <s v="TX501367"/>
        <s v="TX501368"/>
        <s v="TX501369"/>
        <s v="TX501370"/>
        <s v="TX501371"/>
        <s v="TX501372"/>
        <s v="TX501373"/>
        <s v="TX501374"/>
        <s v="TX501375"/>
        <s v="TX501376"/>
        <s v="TX501377"/>
        <s v="TX501378"/>
        <s v="TX501379"/>
        <s v="TX501380"/>
        <s v="TX501381"/>
        <s v="TX501382"/>
        <s v="TX501383"/>
        <s v="TX501384"/>
        <s v="TX501385"/>
        <s v="TX501386"/>
        <s v="TX501387"/>
        <s v="TX501388"/>
        <s v="TX501389"/>
        <s v="TX501390"/>
        <s v="TX501391"/>
        <s v="TX501392"/>
        <s v="TX501393"/>
        <s v="TX501394"/>
        <s v="TX501395"/>
        <s v="TX501396"/>
        <s v="TX501397"/>
        <s v="TX501398"/>
        <s v="TX501399"/>
        <s v="TX501400"/>
        <s v="TX501401"/>
        <s v="TX501402"/>
        <s v="TX501403"/>
        <s v="TX501404"/>
        <s v="TX501405"/>
        <s v="TX501406"/>
        <s v="TX501407"/>
        <s v="TX501408"/>
        <s v="TX501409"/>
        <s v="TX501410"/>
        <s v="TX501411"/>
        <s v="TX501412"/>
        <s v="TX501413"/>
        <s v="TX501414"/>
        <s v="TX501415"/>
        <s v="TX501416"/>
        <s v="TX501417"/>
        <s v="TX501418"/>
        <s v="TX501419"/>
        <s v="TX501420"/>
        <s v="TX501421"/>
        <s v="TX501422"/>
        <s v="TX501423"/>
        <s v="TX501424"/>
        <s v="TX501425"/>
        <s v="TX501426"/>
        <s v="TX501427"/>
        <s v="TX501428"/>
        <s v="TX501429"/>
        <s v="TX501430"/>
        <s v="TX501431"/>
        <s v="TX501432"/>
        <s v="TX501433"/>
        <s v="TX501434"/>
        <s v="TX501435"/>
        <s v="TX501436"/>
        <s v="TX501437"/>
        <s v="TX501438"/>
        <s v="TX501439"/>
        <s v="TX501440"/>
        <s v="TX501441"/>
        <s v="TX501442"/>
        <s v="TX501443"/>
        <s v="TX501444"/>
        <s v="TX501445"/>
        <s v="TX501446"/>
        <s v="TX501447"/>
        <s v="TX501448"/>
        <s v="TX501449"/>
        <s v="TX501450"/>
        <s v="TX501451"/>
        <s v="TX501452"/>
        <s v="TX501453"/>
        <s v="TX501454"/>
        <s v="TX501455"/>
        <s v="TX501456"/>
        <s v="TX501457"/>
        <s v="TX501458"/>
        <s v="TX501459"/>
        <s v="TX501460"/>
        <s v="TX501461"/>
        <s v="TX501462"/>
        <s v="TX501463"/>
        <s v="TX501464"/>
        <s v="TX501465"/>
        <s v="TX501466"/>
        <s v="TX501467"/>
        <s v="TX501468"/>
        <s v="TX501469"/>
        <s v="TX501470"/>
        <s v="TX501471"/>
        <s v="TX501472"/>
        <s v="TX501473"/>
        <s v="TX501474"/>
        <s v="TX501475"/>
        <s v="TX501476"/>
        <s v="TX501477"/>
        <s v="TX501478"/>
        <s v="TX501479"/>
        <s v="TX501480"/>
        <s v="TX501481"/>
        <s v="TX501482"/>
        <s v="TX501483"/>
        <s v="TX501484"/>
        <s v="TX501485"/>
        <s v="TX501486"/>
        <s v="TX501487"/>
        <s v="TX501488"/>
        <s v="TX501489"/>
        <s v="TX501490"/>
        <s v="TX501491"/>
        <s v="TX501492"/>
        <s v="TX501493"/>
        <s v="TX501494"/>
        <s v="TX501495"/>
        <s v="TX501496"/>
        <s v="TX501497"/>
        <s v="TX501498"/>
        <s v="TX501499"/>
        <s v="TX501500"/>
        <s v="TX501501"/>
        <s v="TX501502"/>
        <s v="TX501503"/>
        <s v="TX501504"/>
        <s v="TX501505"/>
        <s v="TX501506"/>
        <s v="TX501507"/>
        <s v="TX501508"/>
        <s v="TX501509"/>
        <s v="TX501510"/>
        <s v="TX501511"/>
        <s v="TX501512"/>
        <s v="TX501513"/>
        <s v="TX501514"/>
        <s v="TX501515"/>
        <s v="TX501516"/>
        <s v="TX501517"/>
        <s v="TX501518"/>
        <s v="TX501519"/>
        <s v="TX501520"/>
        <s v="TX501521"/>
        <s v="TX501522"/>
        <s v="TX501523"/>
        <s v="TX501524"/>
        <s v="TX501525"/>
        <s v="TX501526"/>
        <s v="TX501527"/>
        <s v="TX501528"/>
        <s v="TX501529"/>
        <s v="TX501530"/>
        <s v="TX501531"/>
        <s v="TX501532"/>
        <s v="TX501533"/>
        <s v="TX501534"/>
        <s v="TX501535"/>
        <s v="TX501536"/>
        <s v="TX501537"/>
        <s v="TX501538"/>
        <s v="TX501539"/>
        <s v="TX501540"/>
        <s v="TX501541"/>
        <s v="TX501542"/>
        <s v="TX501543"/>
        <s v="TX501544"/>
        <s v="TX501545"/>
        <s v="TX501546"/>
        <s v="TX501547"/>
        <s v="TX501548"/>
        <s v="TX501549"/>
        <s v="TX501550"/>
        <s v="TX501551"/>
        <s v="TX501552"/>
        <s v="TX501553"/>
        <s v="TX501554"/>
        <s v="TX501555"/>
        <s v="TX501556"/>
        <s v="TX501557"/>
        <s v="TX501558"/>
        <s v="TX501559"/>
        <s v="TX501560"/>
        <s v="TX501561"/>
        <s v="TX501562"/>
        <s v="TX501563"/>
        <s v="TX501564"/>
        <s v="TX501565"/>
        <s v="TX501566"/>
        <s v="TX501567"/>
        <s v="TX501568"/>
        <s v="TX501569"/>
        <s v="TX501570"/>
        <s v="TX501571"/>
        <s v="TX501572"/>
        <s v="TX501573"/>
        <s v="TX501574"/>
        <s v="TX501575"/>
        <s v="TX501576"/>
        <s v="TX501577"/>
        <s v="TX501578"/>
        <s v="TX501579"/>
        <s v="TX501580"/>
        <s v="TX501581"/>
        <s v="TX501582"/>
        <s v="TX501583"/>
        <s v="TX501584"/>
        <s v="TX501585"/>
        <s v="TX501586"/>
        <s v="TX501587"/>
        <s v="TX501588"/>
        <s v="TX501589"/>
        <s v="TX501590"/>
        <s v="TX501591"/>
        <s v="TX501592"/>
        <s v="TX501593"/>
        <s v="TX501594"/>
        <s v="TX501595"/>
        <s v="TX501596"/>
        <s v="TX501597"/>
        <s v="TX501598"/>
        <s v="TX501599"/>
        <s v="TX501600"/>
        <s v="TX501601"/>
        <s v="TX501602"/>
        <s v="TX501603"/>
        <s v="TX501604"/>
        <s v="TX501605"/>
        <s v="TX501606"/>
        <s v="TX501607"/>
        <s v="TX501608"/>
        <s v="TX501609"/>
        <s v="TX501610"/>
        <s v="TX501611"/>
        <s v="TX501612"/>
        <s v="TX501613"/>
        <s v="TX501614"/>
        <s v="TX501615"/>
        <s v="TX501616"/>
        <s v="TX501617"/>
        <s v="TX501618"/>
        <s v="TX501619"/>
        <s v="TX501620"/>
        <s v="TX501621"/>
        <s v="TX501622"/>
        <s v="TX501623"/>
        <s v="TX501624"/>
        <s v="TX501625"/>
        <s v="TX501626"/>
        <s v="TX501627"/>
        <s v="TX501628"/>
        <s v="TX501629"/>
        <s v="TX501630"/>
        <s v="TX501631"/>
        <s v="TX501632"/>
        <s v="TX501633"/>
        <s v="TX501634"/>
        <s v="TX501635"/>
        <s v="TX501636"/>
        <s v="TX501637"/>
        <s v="TX501638"/>
        <s v="TX501639"/>
        <s v="TX501640"/>
        <s v="TX501641"/>
        <s v="TX501642"/>
        <s v="TX501643"/>
        <s v="TX501644"/>
        <s v="TX501645"/>
        <s v="TX501646"/>
        <s v="TX501647"/>
        <s v="TX501648"/>
        <s v="TX501649"/>
        <s v="TX501650"/>
        <s v="TX501651"/>
        <s v="TX501652"/>
        <s v="TX501653"/>
        <s v="TX501654"/>
        <s v="TX501655"/>
        <s v="TX501656"/>
        <s v="TX501657"/>
        <s v="TX501658"/>
        <s v="TX501659"/>
        <s v="TX501660"/>
        <s v="TX501661"/>
        <s v="TX501662"/>
        <s v="TX501663"/>
        <s v="TX501664"/>
        <s v="TX501665"/>
        <s v="TX501666"/>
        <s v="TX501667"/>
        <s v="TX501668"/>
        <s v="TX501669"/>
        <s v="TX501670"/>
        <s v="TX501671"/>
        <s v="TX501672"/>
        <s v="TX501673"/>
        <s v="TX501674"/>
        <s v="TX501675"/>
        <s v="TX501676"/>
        <s v="TX501677"/>
        <s v="TX501678"/>
        <s v="TX501679"/>
        <s v="TX501680"/>
        <s v="TX501681"/>
        <s v="TX501682"/>
        <s v="TX501683"/>
        <s v="TX501684"/>
        <s v="TX501685"/>
        <s v="TX501686"/>
        <s v="TX501687"/>
        <s v="TX501688"/>
        <s v="TX501689"/>
        <s v="TX501690"/>
        <s v="TX501691"/>
        <s v="TX501692"/>
        <s v="TX501693"/>
        <s v="TX501694"/>
        <s v="TX501695"/>
        <s v="TX501696"/>
        <s v="TX501697"/>
        <s v="TX501698"/>
        <s v="TX501699"/>
        <s v="TX501700"/>
        <s v="TX501701"/>
        <s v="TX501702"/>
        <s v="TX501703"/>
        <s v="TX501704"/>
        <s v="TX501705"/>
        <s v="TX501706"/>
        <s v="TX501707"/>
        <s v="TX501708"/>
        <s v="TX501709"/>
        <s v="TX501710"/>
        <s v="TX501711"/>
        <s v="TX501712"/>
        <s v="TX501713"/>
        <s v="TX501714"/>
        <s v="TX501715"/>
        <s v="TX501716"/>
        <s v="TX501717"/>
        <s v="TX501718"/>
        <s v="TX501719"/>
        <s v="TX501720"/>
        <s v="TX501721"/>
        <s v="TX501722"/>
        <s v="TX501723"/>
        <s v="TX501724"/>
        <s v="TX501725"/>
        <s v="TX501726"/>
        <s v="TX501727"/>
        <s v="TX501728"/>
        <s v="TX501729"/>
        <s v="TX501730"/>
        <s v="TX501731"/>
        <s v="TX501732"/>
        <s v="TX501733"/>
        <s v="TX501734"/>
        <s v="TX501735"/>
        <s v="TX501736"/>
        <s v="TX501737"/>
        <s v="TX501738"/>
        <s v="TX501739"/>
        <s v="TX501740"/>
        <s v="TX501741"/>
        <s v="TX501742"/>
        <s v="TX501743"/>
        <s v="TX501744"/>
        <s v="TX501745"/>
        <s v="TX501746"/>
        <s v="TX501747"/>
        <s v="TX501748"/>
        <s v="TX501749"/>
        <s v="TX501750"/>
        <s v="TX501751"/>
        <s v="TX501752"/>
        <s v="TX501753"/>
        <s v="TX501754"/>
        <s v="TX501755"/>
        <s v="TX501756"/>
        <s v="TX501757"/>
        <s v="TX501758"/>
        <s v="TX501759"/>
        <s v="TX501760"/>
        <s v="TX501761"/>
        <s v="TX501762"/>
        <s v="TX501763"/>
        <s v="TX501764"/>
        <s v="TX501765"/>
        <s v="TX501766"/>
        <s v="TX501767"/>
        <s v="TX501768"/>
        <s v="TX501769"/>
        <s v="TX501770"/>
        <s v="TX501771"/>
        <s v="TX501772"/>
        <s v="TX501773"/>
        <s v="TX501774"/>
        <s v="TX501775"/>
        <s v="TX501776"/>
        <s v="TX501777"/>
        <s v="TX501778"/>
        <s v="TX501779"/>
        <s v="TX501780"/>
        <s v="TX501781"/>
        <s v="TX501782"/>
        <s v="TX501783"/>
        <s v="TX501784"/>
        <s v="TX501785"/>
        <s v="TX501786"/>
        <s v="TX501787"/>
        <s v="TX501788"/>
        <s v="TX501789"/>
        <s v="TX501790"/>
        <s v="TX501791"/>
        <s v="TX501792"/>
        <s v="TX501793"/>
        <s v="TX501794"/>
        <s v="TX501795"/>
        <s v="TX501796"/>
        <s v="TX501797"/>
        <s v="TX501798"/>
        <s v="TX501799"/>
        <s v="TX501800"/>
        <s v="TX501801"/>
        <s v="TX501802"/>
        <s v="TX501803"/>
        <s v="TX501804"/>
        <s v="TX501805"/>
        <s v="TX501806"/>
        <s v="TX501807"/>
        <s v="TX501808"/>
        <s v="TX501809"/>
        <s v="TX501810"/>
        <s v="TX501811"/>
        <s v="TX501812"/>
        <s v="TX501813"/>
        <s v="TX501814"/>
        <s v="TX501815"/>
        <s v="TX501816"/>
        <s v="TX501817"/>
        <s v="TX501818"/>
        <s v="TX501819"/>
        <s v="TX501820"/>
        <s v="TX501821"/>
        <s v="TX501822"/>
        <s v="TX501823"/>
        <s v="TX501824"/>
        <s v="TX501825"/>
        <s v="TX501826"/>
        <s v="TX501827"/>
        <s v="TX501828"/>
        <s v="TX501829"/>
        <s v="TX501830"/>
        <s v="TX501831"/>
        <s v="TX501832"/>
        <s v="TX501833"/>
        <s v="TX501834"/>
        <s v="TX501835"/>
        <s v="TX501836"/>
        <s v="TX501837"/>
        <s v="TX501838"/>
        <s v="TX501839"/>
        <s v="TX501840"/>
        <s v="TX501841"/>
        <s v="TX501842"/>
        <s v="TX501843"/>
        <s v="TX501844"/>
        <s v="TX501845"/>
        <s v="TX501846"/>
        <s v="TX501847"/>
        <s v="TX501848"/>
        <s v="TX501849"/>
        <s v="TX501850"/>
        <s v="TX501851"/>
        <s v="TX501852"/>
        <s v="TX501853"/>
        <s v="TX501854"/>
        <s v="TX501855"/>
        <s v="TX501856"/>
        <s v="TX501857"/>
        <s v="TX501858"/>
        <s v="TX501859"/>
        <s v="TX501860"/>
        <s v="TX501861"/>
        <s v="TX501862"/>
        <s v="TX501863"/>
        <s v="TX501864"/>
        <s v="TX501865"/>
        <s v="TX501866"/>
        <s v="TX501867"/>
        <s v="TX501868"/>
        <s v="TX501869"/>
        <s v="TX501870"/>
        <s v="TX501871"/>
        <s v="TX501872"/>
        <s v="TX501873"/>
        <s v="TX501874"/>
        <s v="TX501875"/>
        <s v="TX501876"/>
        <s v="TX501877"/>
        <s v="TX501878"/>
        <s v="TX501879"/>
        <s v="TX501880"/>
        <s v="TX501881"/>
        <s v="TX501882"/>
        <s v="TX501883"/>
        <s v="TX501884"/>
        <s v="TX501885"/>
        <s v="TX501886"/>
        <s v="TX501887"/>
        <s v="TX501888"/>
        <s v="TX501889"/>
        <s v="TX501890"/>
        <s v="TX501891"/>
        <s v="TX501892"/>
        <s v="TX501893"/>
        <s v="TX501894"/>
        <s v="TX501895"/>
        <s v="TX501896"/>
        <s v="TX501897"/>
        <s v="TX501898"/>
        <s v="TX501899"/>
        <s v="TX501900"/>
        <s v="TX501901"/>
        <s v="TX501902"/>
        <s v="TX501903"/>
        <s v="TX501904"/>
        <s v="TX501905"/>
        <s v="TX501906"/>
        <s v="TX501907"/>
        <s v="TX501908"/>
        <s v="TX501909"/>
        <s v="TX501910"/>
        <s v="TX501911"/>
        <s v="TX501912"/>
        <s v="TX501913"/>
        <s v="TX501914"/>
        <s v="TX501915"/>
        <s v="TX501916"/>
        <s v="TX501917"/>
        <s v="TX501918"/>
        <s v="TX501919"/>
        <s v="TX501920"/>
        <s v="TX501921"/>
        <s v="TX501922"/>
        <s v="TX501923"/>
        <s v="TX501924"/>
        <s v="TX501925"/>
        <s v="TX501926"/>
        <s v="TX501927"/>
        <s v="TX501928"/>
        <s v="TX501929"/>
        <s v="TX501930"/>
        <s v="TX501931"/>
        <s v="TX501932"/>
        <s v="TX501933"/>
        <s v="TX501934"/>
        <s v="TX501935"/>
        <s v="TX501936"/>
        <s v="TX501937"/>
        <s v="TX501938"/>
        <s v="TX501939"/>
        <s v="TX501940"/>
        <s v="TX501941"/>
        <s v="TX501942"/>
        <s v="TX501943"/>
        <s v="TX501944"/>
        <s v="TX501945"/>
        <s v="TX501946"/>
        <s v="TX501947"/>
        <s v="TX501948"/>
        <s v="TX501949"/>
        <s v="TX501950"/>
        <s v="TX501951"/>
        <s v="TX501952"/>
        <s v="TX501953"/>
        <s v="TX501954"/>
        <s v="TX501955"/>
        <s v="TX501956"/>
        <s v="TX501957"/>
        <s v="TX501958"/>
        <s v="TX501959"/>
        <s v="TX501960"/>
        <s v="TX501961"/>
        <s v="TX501962"/>
        <s v="TX501963"/>
        <s v="TX501964"/>
        <s v="TX501965"/>
        <s v="TX501966"/>
        <s v="TX501967"/>
        <s v="TX501968"/>
        <s v="TX501969"/>
        <s v="TX501970"/>
        <s v="TX501971"/>
        <s v="TX501972"/>
        <s v="TX501973"/>
        <s v="TX501974"/>
        <s v="TX501975"/>
        <s v="TX501976"/>
        <s v="TX501977"/>
        <s v="TX501978"/>
        <s v="TX501979"/>
        <s v="TX501980"/>
        <s v="TX501981"/>
        <s v="TX501982"/>
        <s v="TX501983"/>
        <s v="TX501984"/>
        <s v="TX501985"/>
        <s v="TX501986"/>
        <s v="TX501987"/>
        <s v="TX501988"/>
        <s v="TX501989"/>
        <s v="TX501990"/>
        <s v="TX501991"/>
        <s v="TX501992"/>
        <s v="TX501993"/>
        <s v="TX501994"/>
        <s v="TX501995"/>
        <s v="TX501996"/>
        <s v="TX501997"/>
        <s v="TX501998"/>
        <s v="TX501999"/>
        <s v="TX502000"/>
        <s v="TX502001"/>
        <s v="TX502002"/>
        <s v="TX502003"/>
        <s v="TX502004"/>
        <s v="TX502005"/>
        <s v="TX502006"/>
        <s v="TX502007"/>
        <s v="TX502008"/>
        <s v="TX502009"/>
        <s v="TX502010"/>
        <s v="TX502011"/>
        <s v="TX502012"/>
        <s v="TX502013"/>
        <s v="TX502014"/>
        <s v="TX502015"/>
        <s v="TX502016"/>
        <s v="TX502017"/>
        <s v="TX502018"/>
        <s v="TX502019"/>
        <s v="TX502020"/>
        <s v="TX502021"/>
        <s v="TX502022"/>
        <s v="TX502023"/>
        <s v="TX502024"/>
        <s v="TX502025"/>
        <s v="TX502026"/>
        <s v="TX502027"/>
        <s v="TX502028"/>
        <s v="TX502029"/>
        <s v="TX502030"/>
        <s v="TX502031"/>
        <s v="TX502032"/>
        <s v="TX502033"/>
        <s v="TX502034"/>
        <s v="TX502035"/>
        <s v="TX502036"/>
        <s v="TX502037"/>
        <s v="TX502038"/>
        <s v="TX502039"/>
        <s v="TX502040"/>
        <s v="TX502041"/>
        <s v="TX502042"/>
        <s v="TX502043"/>
        <s v="TX502044"/>
        <s v="TX502045"/>
        <s v="TX502046"/>
        <s v="TX502047"/>
        <s v="TX502048"/>
        <s v="TX502049"/>
        <s v="TX502050"/>
        <s v="TX502051"/>
        <s v="TX502052"/>
        <s v="TX502053"/>
        <s v="TX502054"/>
        <s v="TX502055"/>
        <s v="TX502056"/>
        <s v="TX502057"/>
        <s v="TX502058"/>
        <s v="TX502059"/>
        <s v="TX502060"/>
        <s v="TX502061"/>
        <s v="TX502062"/>
        <s v="TX502063"/>
        <s v="TX502064"/>
        <s v="TX502065"/>
        <s v="TX502066"/>
        <s v="TX502067"/>
        <s v="TX502068"/>
        <s v="TX502069"/>
        <s v="TX502070"/>
        <s v="TX502071"/>
        <s v="TX502072"/>
        <s v="TX502073"/>
        <s v="TX502074"/>
        <s v="TX502075"/>
        <s v="TX502076"/>
        <s v="TX502077"/>
        <s v="TX502078"/>
        <s v="TX502079"/>
        <s v="TX502080"/>
        <s v="TX502081"/>
        <s v="TX502082"/>
        <s v="TX502083"/>
        <s v="TX502084"/>
        <s v="TX502085"/>
        <s v="TX502086"/>
        <s v="TX502087"/>
        <s v="TX502088"/>
        <s v="TX502089"/>
        <s v="TX502090"/>
        <s v="TX502091"/>
        <s v="TX502092"/>
        <s v="TX502093"/>
        <s v="TX502094"/>
        <s v="TX502095"/>
        <s v="TX502096"/>
        <s v="TX502097"/>
        <s v="TX502098"/>
        <s v="TX502099"/>
        <s v="TX502100"/>
        <s v="TX502101"/>
        <s v="TX502102"/>
        <s v="TX502103"/>
        <s v="TX502104"/>
        <s v="TX502105"/>
        <s v="TX502106"/>
        <s v="TX502107"/>
        <s v="TX502108"/>
        <s v="TX502109"/>
        <s v="TX502110"/>
        <s v="TX502111"/>
        <s v="TX502112"/>
        <s v="TX502113"/>
        <s v="TX502114"/>
        <s v="TX502115"/>
        <s v="TX502116"/>
        <s v="TX502117"/>
        <s v="TX502118"/>
        <s v="TX502119"/>
        <s v="TX502120"/>
        <s v="TX502121"/>
        <s v="TX502122"/>
        <s v="TX502123"/>
        <s v="TX502124"/>
        <s v="TX502125"/>
        <s v="TX502126"/>
        <s v="TX502127"/>
        <s v="TX502128"/>
        <s v="TX502129"/>
        <s v="TX502130"/>
        <s v="TX502131"/>
        <s v="TX502132"/>
        <s v="TX502133"/>
        <s v="TX502134"/>
        <s v="TX502135"/>
        <s v="TX502136"/>
        <s v="TX502137"/>
        <s v="TX502138"/>
        <s v="TX502139"/>
        <s v="TX502140"/>
        <s v="TX502141"/>
        <s v="TX502142"/>
        <s v="TX502143"/>
        <s v="TX502144"/>
        <s v="TX502145"/>
        <s v="TX502146"/>
        <s v="TX502147"/>
        <s v="TX502148"/>
        <s v="TX502149"/>
        <s v="TX502150"/>
        <s v="TX502151"/>
        <s v="TX502152"/>
        <s v="TX502153"/>
        <s v="TX502154"/>
        <s v="TX502155"/>
        <s v="TX502156"/>
        <s v="TX502157"/>
        <s v="TX502158"/>
        <s v="TX502159"/>
        <s v="TX502160"/>
        <s v="TX502161"/>
        <s v="TX502162"/>
        <s v="TX502163"/>
        <s v="TX502164"/>
        <s v="TX502165"/>
        <s v="TX502166"/>
        <s v="TX502167"/>
        <s v="TX502168"/>
        <s v="TX502169"/>
        <s v="TX502170"/>
        <s v="TX502171"/>
        <s v="TX502172"/>
        <s v="TX502173"/>
        <s v="TX502174"/>
        <s v="TX502175"/>
        <s v="TX502176"/>
        <s v="TX502177"/>
        <s v="TX502178"/>
        <s v="TX502179"/>
        <s v="TX502180"/>
        <s v="TX502181"/>
        <s v="TX502182"/>
        <s v="TX502183"/>
        <s v="TX502184"/>
        <s v="TX502185"/>
        <s v="TX502186"/>
        <s v="TX502187"/>
        <s v="TX502188"/>
        <s v="TX502189"/>
        <s v="TX502190"/>
        <s v="TX502191"/>
        <s v="TX502192"/>
        <s v="TX502193"/>
        <s v="TX502194"/>
        <s v="TX502195"/>
        <s v="TX502196"/>
        <s v="TX502197"/>
        <s v="TX502198"/>
        <s v="TX502199"/>
        <s v="TX502200"/>
        <s v="TX502201"/>
        <s v="TX502202"/>
        <s v="TX502203"/>
        <s v="TX502204"/>
        <s v="TX502205"/>
        <s v="TX502206"/>
        <s v="TX502207"/>
        <s v="TX502208"/>
        <s v="TX502209"/>
        <s v="TX502210"/>
        <s v="TX502211"/>
        <s v="TX502212"/>
        <s v="TX502213"/>
        <s v="TX502214"/>
        <s v="TX502215"/>
        <s v="TX502216"/>
        <s v="TX502217"/>
        <s v="TX502218"/>
        <s v="TX502219"/>
        <s v="TX502220"/>
        <s v="TX502221"/>
        <s v="TX502222"/>
        <s v="TX502223"/>
        <s v="TX502224"/>
        <s v="TX502225"/>
        <s v="TX502226"/>
        <s v="TX502227"/>
        <s v="TX502228"/>
        <s v="TX502229"/>
        <s v="TX502230"/>
        <s v="TX502231"/>
        <s v="TX502232"/>
        <s v="TX502233"/>
        <s v="TX502234"/>
        <s v="TX502235"/>
        <s v="TX502236"/>
        <s v="TX502237"/>
        <s v="TX502238"/>
        <s v="TX502239"/>
        <s v="TX502240"/>
        <s v="TX502241"/>
        <s v="TX502242"/>
        <s v="TX502243"/>
        <s v="TX502244"/>
        <s v="TX502245"/>
        <s v="TX502246"/>
        <s v="TX502247"/>
        <s v="TX502248"/>
        <s v="TX502249"/>
        <s v="TX502250"/>
        <s v="TX502251"/>
        <s v="TX502252"/>
        <s v="TX502253"/>
        <s v="TX502254"/>
        <s v="TX502255"/>
        <s v="TX502256"/>
        <s v="TX502257"/>
        <s v="TX502258"/>
        <s v="TX502259"/>
        <s v="TX502260"/>
        <s v="TX502261"/>
        <s v="TX502262"/>
        <s v="TX502263"/>
        <s v="TX502264"/>
        <s v="TX502265"/>
        <s v="TX502266"/>
        <s v="TX502267"/>
        <s v="TX502268"/>
        <s v="TX502269"/>
        <s v="TX502270"/>
        <s v="TX502271"/>
        <s v="TX502272"/>
        <s v="TX502273"/>
        <s v="TX502274"/>
        <s v="TX502275"/>
        <s v="TX502276"/>
        <s v="TX502277"/>
        <s v="TX502278"/>
        <s v="TX502279"/>
        <s v="TX502280"/>
        <s v="TX502281"/>
        <s v="TX502282"/>
        <s v="TX502283"/>
        <s v="TX502284"/>
        <s v="TX502285"/>
        <s v="TX502286"/>
        <s v="TX502287"/>
        <s v="TX502288"/>
        <s v="TX502289"/>
        <s v="TX502290"/>
        <s v="TX502291"/>
        <s v="TX502292"/>
        <s v="TX502293"/>
        <s v="TX502294"/>
        <s v="TX502295"/>
        <s v="TX502296"/>
        <s v="TX502297"/>
        <s v="TX502298"/>
        <s v="TX502299"/>
        <s v="TX502300"/>
        <s v="TX502301"/>
        <s v="TX502302"/>
        <s v="TX502303"/>
        <s v="TX502304"/>
        <s v="TX502305"/>
        <s v="TX502306"/>
        <s v="TX502307"/>
        <s v="TX502308"/>
        <s v="TX502309"/>
        <s v="TX502310"/>
        <s v="TX502311"/>
        <s v="TX502312"/>
        <s v="TX502313"/>
        <s v="TX502314"/>
        <s v="TX502315"/>
        <s v="TX502316"/>
        <s v="TX502317"/>
        <s v="TX502318"/>
        <s v="TX502319"/>
        <s v="TX502320"/>
        <s v="TX502321"/>
        <s v="TX502322"/>
        <s v="TX502323"/>
        <s v="TX502324"/>
        <s v="TX502325"/>
        <s v="TX502326"/>
        <s v="TX502327"/>
        <s v="TX502328"/>
        <s v="TX502329"/>
        <s v="TX502330"/>
        <s v="TX502331"/>
        <s v="TX502332"/>
        <s v="TX502333"/>
        <s v="TX502334"/>
        <s v="TX502335"/>
        <s v="TX502336"/>
        <s v="TX502337"/>
        <s v="TX502338"/>
        <s v="TX502339"/>
        <s v="TX502340"/>
        <s v="TX502341"/>
        <s v="TX502342"/>
        <s v="TX502343"/>
        <s v="TX502344"/>
        <s v="TX502345"/>
        <s v="TX502346"/>
        <s v="TX502347"/>
        <s v="TX502348"/>
        <s v="TX502349"/>
        <s v="TX502350"/>
        <s v="TX502351"/>
        <s v="TX502352"/>
        <s v="TX502353"/>
        <s v="TX502354"/>
        <s v="TX502355"/>
        <s v="TX502356"/>
        <s v="TX502357"/>
        <s v="TX502358"/>
        <s v="TX502359"/>
        <s v="TX502360"/>
        <s v="TX502361"/>
        <s v="TX502362"/>
        <s v="TX502363"/>
        <s v="TX502364"/>
        <s v="TX502365"/>
        <s v="TX502366"/>
        <s v="TX502367"/>
        <s v="TX502368"/>
        <s v="TX502369"/>
        <s v="TX502370"/>
        <s v="TX502371"/>
        <s v="TX502372"/>
        <s v="TX502373"/>
        <s v="TX502374"/>
        <s v="TX502375"/>
        <s v="TX502376"/>
        <s v="TX502377"/>
        <s v="TX502378"/>
        <s v="TX502379"/>
        <s v="TX502380"/>
        <s v="TX502381"/>
        <s v="TX502382"/>
        <s v="TX502383"/>
        <s v="TX502384"/>
        <s v="TX502385"/>
        <s v="TX502386"/>
        <s v="TX502387"/>
        <s v="TX502388"/>
        <s v="TX502389"/>
        <s v="TX502390"/>
        <s v="TX502391"/>
        <s v="TX502392"/>
        <s v="TX502393"/>
        <s v="TX502394"/>
        <s v="TX502395"/>
        <s v="TX502396"/>
        <s v="TX502397"/>
        <s v="TX502398"/>
        <s v="TX502399"/>
        <s v="TX50240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6"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7"/>
          <x v="5"/>
          <x v="5"/>
          <x v="5"/>
          <x v="10"/>
          <x v="8"/>
          <x v="3"/>
          <x v="5"/>
          <x v="9"/>
          <x v="4"/>
          <x v="6"/>
          <x v="5"/>
          <x v="5"/>
          <x v="5"/>
          <x v="5"/>
          <x v="5"/>
          <x v="5"/>
          <x v="5"/>
          <x v="5"/>
          <x v="5"/>
          <x v="5"/>
          <x v="5"/>
          <x v="5"/>
          <x v="5"/>
          <x v="5"/>
          <x v="5"/>
          <x v="5"/>
          <x v="5"/>
          <x v="5"/>
          <x v="5"/>
          <x v="5"/>
          <x v="5"/>
          <x v="5"/>
          <x v="5"/>
          <x v="5"/>
          <x v="5"/>
          <x v="5"/>
          <x v="5"/>
          <x v="5"/>
          <x v="5"/>
          <x v="5"/>
          <x v="5"/>
          <x v="5"/>
          <x v="5"/>
          <x v="5"/>
        </discretePr>
        <groupItems count="11">
          <n v="1"/>
          <n v="2"/>
          <n v="3"/>
          <n v="5"/>
          <n v="4"/>
          <s v="Group2"/>
          <s v="6"/>
          <s v="7"/>
          <s v="8"/>
          <s v="9"/>
          <s v="10"/>
        </groupItems>
      </fieldGroup>
    </cacheField>
    <cacheField name="Months"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816763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x v="0"/>
    <x v="0"/>
    <x v="0"/>
    <n v="10.9"/>
    <n v="10.9"/>
    <x v="0"/>
    <d v="2025-01-06T00:00:00"/>
    <x v="0"/>
    <x v="0"/>
    <x v="0"/>
    <x v="0"/>
    <x v="0"/>
    <x v="0"/>
    <x v="0"/>
    <x v="0"/>
  </r>
  <r>
    <x v="1"/>
    <x v="1"/>
    <x v="1"/>
    <n v="30.6"/>
    <n v="61.2"/>
    <x v="0"/>
    <d v="2025-01-03T00:00:00"/>
    <x v="1"/>
    <x v="0"/>
    <x v="0"/>
    <x v="0"/>
    <x v="1"/>
    <x v="1"/>
    <x v="0"/>
    <x v="1"/>
  </r>
  <r>
    <x v="2"/>
    <x v="2"/>
    <x v="2"/>
    <n v="109.4"/>
    <n v="328.20000000000005"/>
    <x v="0"/>
    <d v="2025-01-04T00:00:00"/>
    <x v="2"/>
    <x v="0"/>
    <x v="1"/>
    <x v="0"/>
    <x v="2"/>
    <x v="2"/>
    <x v="0"/>
    <x v="2"/>
  </r>
  <r>
    <x v="3"/>
    <x v="3"/>
    <x v="3"/>
    <n v="37.700000000000003"/>
    <n v="263.90000000000003"/>
    <x v="0"/>
    <d v="2025-01-02T00:00:00"/>
    <x v="2"/>
    <x v="0"/>
    <x v="0"/>
    <x v="0"/>
    <x v="2"/>
    <x v="3"/>
    <x v="0"/>
    <x v="2"/>
  </r>
  <r>
    <x v="4"/>
    <x v="4"/>
    <x v="2"/>
    <n v="56.7"/>
    <n v="170.10000000000002"/>
    <x v="0"/>
    <d v="2025-01-04T00:00:00"/>
    <x v="2"/>
    <x v="0"/>
    <x v="2"/>
    <x v="0"/>
    <x v="3"/>
    <x v="2"/>
    <x v="0"/>
    <x v="2"/>
  </r>
  <r>
    <x v="5"/>
    <x v="1"/>
    <x v="4"/>
    <n v="83.5"/>
    <n v="1002"/>
    <x v="0"/>
    <d v="2025-01-04T00:00:00"/>
    <x v="1"/>
    <x v="1"/>
    <x v="0"/>
    <x v="0"/>
    <x v="3"/>
    <x v="2"/>
    <x v="0"/>
    <x v="1"/>
  </r>
  <r>
    <x v="6"/>
    <x v="5"/>
    <x v="0"/>
    <n v="55.3"/>
    <n v="55.3"/>
    <x v="0"/>
    <d v="2025-01-02T00:00:00"/>
    <x v="2"/>
    <x v="0"/>
    <x v="0"/>
    <x v="0"/>
    <x v="3"/>
    <x v="3"/>
    <x v="0"/>
    <x v="2"/>
  </r>
  <r>
    <x v="7"/>
    <x v="6"/>
    <x v="1"/>
    <n v="40.299999999999997"/>
    <n v="80.599999999999994"/>
    <x v="0"/>
    <d v="2025-01-02T00:00:00"/>
    <x v="1"/>
    <x v="2"/>
    <x v="2"/>
    <x v="0"/>
    <x v="3"/>
    <x v="3"/>
    <x v="0"/>
    <x v="1"/>
  </r>
  <r>
    <x v="8"/>
    <x v="7"/>
    <x v="5"/>
    <n v="35.700000000000003"/>
    <n v="392.70000000000005"/>
    <x v="0"/>
    <d v="2025-01-02T00:00:00"/>
    <x v="2"/>
    <x v="0"/>
    <x v="0"/>
    <x v="0"/>
    <x v="3"/>
    <x v="3"/>
    <x v="0"/>
    <x v="2"/>
  </r>
  <r>
    <x v="9"/>
    <x v="8"/>
    <x v="3"/>
    <n v="22.4"/>
    <n v="156.79999999999998"/>
    <x v="0"/>
    <d v="2025-01-04T00:00:00"/>
    <x v="1"/>
    <x v="0"/>
    <x v="1"/>
    <x v="0"/>
    <x v="3"/>
    <x v="2"/>
    <x v="0"/>
    <x v="1"/>
  </r>
  <r>
    <x v="10"/>
    <x v="9"/>
    <x v="1"/>
    <n v="54.4"/>
    <n v="108.8"/>
    <x v="0"/>
    <d v="2025-01-07T00:00:00"/>
    <x v="2"/>
    <x v="0"/>
    <x v="0"/>
    <x v="0"/>
    <x v="3"/>
    <x v="4"/>
    <x v="0"/>
    <x v="2"/>
  </r>
  <r>
    <x v="11"/>
    <x v="9"/>
    <x v="1"/>
    <n v="49"/>
    <n v="98"/>
    <x v="0"/>
    <d v="2025-01-03T00:00:00"/>
    <x v="2"/>
    <x v="2"/>
    <x v="1"/>
    <x v="0"/>
    <x v="3"/>
    <x v="1"/>
    <x v="0"/>
    <x v="2"/>
  </r>
  <r>
    <x v="12"/>
    <x v="5"/>
    <x v="3"/>
    <n v="118.6"/>
    <n v="830.19999999999993"/>
    <x v="0"/>
    <d v="2025-01-05T00:00:00"/>
    <x v="2"/>
    <x v="1"/>
    <x v="0"/>
    <x v="0"/>
    <x v="4"/>
    <x v="5"/>
    <x v="0"/>
    <x v="2"/>
  </r>
  <r>
    <x v="13"/>
    <x v="6"/>
    <x v="6"/>
    <n v="88.4"/>
    <n v="2386.8000000000002"/>
    <x v="0"/>
    <d v="2025-01-08T00:00:00"/>
    <x v="1"/>
    <x v="3"/>
    <x v="0"/>
    <x v="0"/>
    <x v="5"/>
    <x v="6"/>
    <x v="0"/>
    <x v="1"/>
  </r>
  <r>
    <x v="14"/>
    <x v="10"/>
    <x v="0"/>
    <n v="66.7"/>
    <n v="66.7"/>
    <x v="0"/>
    <d v="2025-01-04T00:00:00"/>
    <x v="1"/>
    <x v="0"/>
    <x v="0"/>
    <x v="0"/>
    <x v="6"/>
    <x v="2"/>
    <x v="0"/>
    <x v="1"/>
  </r>
  <r>
    <x v="15"/>
    <x v="9"/>
    <x v="7"/>
    <n v="30.9"/>
    <n v="309"/>
    <x v="0"/>
    <d v="2025-01-02T00:00:00"/>
    <x v="1"/>
    <x v="1"/>
    <x v="2"/>
    <x v="0"/>
    <x v="6"/>
    <x v="3"/>
    <x v="0"/>
    <x v="1"/>
  </r>
  <r>
    <x v="16"/>
    <x v="4"/>
    <x v="2"/>
    <n v="31.1"/>
    <n v="93.300000000000011"/>
    <x v="0"/>
    <d v="2025-01-02T00:00:00"/>
    <x v="2"/>
    <x v="0"/>
    <x v="1"/>
    <x v="0"/>
    <x v="6"/>
    <x v="3"/>
    <x v="0"/>
    <x v="2"/>
  </r>
  <r>
    <x v="17"/>
    <x v="7"/>
    <x v="2"/>
    <n v="36.6"/>
    <n v="109.80000000000001"/>
    <x v="0"/>
    <d v="2025-01-04T00:00:00"/>
    <x v="2"/>
    <x v="0"/>
    <x v="0"/>
    <x v="0"/>
    <x v="7"/>
    <x v="2"/>
    <x v="0"/>
    <x v="2"/>
  </r>
  <r>
    <x v="18"/>
    <x v="6"/>
    <x v="8"/>
    <n v="51.1"/>
    <n v="408.8"/>
    <x v="0"/>
    <d v="2025-01-04T00:00:00"/>
    <x v="2"/>
    <x v="2"/>
    <x v="3"/>
    <x v="0"/>
    <x v="7"/>
    <x v="2"/>
    <x v="0"/>
    <x v="2"/>
  </r>
  <r>
    <x v="19"/>
    <x v="9"/>
    <x v="0"/>
    <n v="25.2"/>
    <n v="25.2"/>
    <x v="0"/>
    <d v="2025-01-02T00:00:00"/>
    <x v="2"/>
    <x v="1"/>
    <x v="2"/>
    <x v="0"/>
    <x v="8"/>
    <x v="3"/>
    <x v="0"/>
    <x v="2"/>
  </r>
  <r>
    <x v="20"/>
    <x v="9"/>
    <x v="9"/>
    <n v="43.8"/>
    <n v="219"/>
    <x v="0"/>
    <d v="2025-01-04T00:00:00"/>
    <x v="2"/>
    <x v="2"/>
    <x v="0"/>
    <x v="0"/>
    <x v="8"/>
    <x v="2"/>
    <x v="0"/>
    <x v="2"/>
  </r>
  <r>
    <x v="21"/>
    <x v="8"/>
    <x v="4"/>
    <n v="46.7"/>
    <n v="560.40000000000009"/>
    <x v="0"/>
    <d v="2025-01-02T00:00:00"/>
    <x v="2"/>
    <x v="1"/>
    <x v="1"/>
    <x v="0"/>
    <x v="8"/>
    <x v="3"/>
    <x v="0"/>
    <x v="2"/>
  </r>
  <r>
    <x v="22"/>
    <x v="3"/>
    <x v="10"/>
    <n v="79.900000000000006"/>
    <n v="1518.1000000000001"/>
    <x v="0"/>
    <d v="2025-01-02T00:00:00"/>
    <x v="1"/>
    <x v="0"/>
    <x v="2"/>
    <x v="0"/>
    <x v="8"/>
    <x v="3"/>
    <x v="0"/>
    <x v="1"/>
  </r>
  <r>
    <x v="23"/>
    <x v="11"/>
    <x v="8"/>
    <n v="26.4"/>
    <n v="211.2"/>
    <x v="0"/>
    <d v="2025-01-02T00:00:00"/>
    <x v="2"/>
    <x v="3"/>
    <x v="0"/>
    <x v="0"/>
    <x v="8"/>
    <x v="3"/>
    <x v="0"/>
    <x v="2"/>
  </r>
  <r>
    <x v="24"/>
    <x v="12"/>
    <x v="8"/>
    <n v="88.8"/>
    <n v="710.4"/>
    <x v="0"/>
    <d v="2025-01-02T00:00:00"/>
    <x v="2"/>
    <x v="4"/>
    <x v="0"/>
    <x v="0"/>
    <x v="8"/>
    <x v="3"/>
    <x v="0"/>
    <x v="2"/>
  </r>
  <r>
    <x v="25"/>
    <x v="0"/>
    <x v="7"/>
    <n v="17.5"/>
    <n v="175"/>
    <x v="0"/>
    <d v="2025-01-02T00:00:00"/>
    <x v="2"/>
    <x v="2"/>
    <x v="0"/>
    <x v="0"/>
    <x v="9"/>
    <x v="3"/>
    <x v="0"/>
    <x v="2"/>
  </r>
  <r>
    <x v="26"/>
    <x v="1"/>
    <x v="11"/>
    <n v="38.700000000000003"/>
    <n v="348.3"/>
    <x v="0"/>
    <d v="2025-01-04T00:00:00"/>
    <x v="1"/>
    <x v="1"/>
    <x v="0"/>
    <x v="0"/>
    <x v="10"/>
    <x v="2"/>
    <x v="0"/>
    <x v="1"/>
  </r>
  <r>
    <x v="27"/>
    <x v="13"/>
    <x v="12"/>
    <n v="57.2"/>
    <n v="228.8"/>
    <x v="0"/>
    <d v="2025-01-03T00:00:00"/>
    <x v="0"/>
    <x v="1"/>
    <x v="2"/>
    <x v="0"/>
    <x v="11"/>
    <x v="1"/>
    <x v="0"/>
    <x v="0"/>
  </r>
  <r>
    <x v="28"/>
    <x v="6"/>
    <x v="9"/>
    <n v="50.9"/>
    <n v="254.5"/>
    <x v="0"/>
    <d v="2025-01-07T00:00:00"/>
    <x v="0"/>
    <x v="1"/>
    <x v="2"/>
    <x v="0"/>
    <x v="12"/>
    <x v="4"/>
    <x v="0"/>
    <x v="0"/>
  </r>
  <r>
    <x v="29"/>
    <x v="14"/>
    <x v="3"/>
    <n v="41"/>
    <n v="287"/>
    <x v="0"/>
    <d v="2025-01-05T00:00:00"/>
    <x v="2"/>
    <x v="1"/>
    <x v="0"/>
    <x v="0"/>
    <x v="13"/>
    <x v="5"/>
    <x v="0"/>
    <x v="2"/>
  </r>
  <r>
    <x v="30"/>
    <x v="8"/>
    <x v="3"/>
    <n v="19.100000000000001"/>
    <n v="133.70000000000002"/>
    <x v="0"/>
    <d v="2025-01-05T00:00:00"/>
    <x v="1"/>
    <x v="0"/>
    <x v="2"/>
    <x v="0"/>
    <x v="14"/>
    <x v="5"/>
    <x v="0"/>
    <x v="1"/>
  </r>
  <r>
    <x v="31"/>
    <x v="2"/>
    <x v="9"/>
    <n v="166.1"/>
    <n v="830.5"/>
    <x v="0"/>
    <d v="2025-01-04T00:00:00"/>
    <x v="1"/>
    <x v="0"/>
    <x v="0"/>
    <x v="0"/>
    <x v="15"/>
    <x v="2"/>
    <x v="0"/>
    <x v="1"/>
  </r>
  <r>
    <x v="32"/>
    <x v="4"/>
    <x v="2"/>
    <n v="29.9"/>
    <n v="89.699999999999989"/>
    <x v="0"/>
    <d v="2025-01-02T00:00:00"/>
    <x v="1"/>
    <x v="3"/>
    <x v="0"/>
    <x v="0"/>
    <x v="3"/>
    <x v="3"/>
    <x v="0"/>
    <x v="1"/>
  </r>
  <r>
    <x v="33"/>
    <x v="10"/>
    <x v="13"/>
    <n v="21.7"/>
    <n v="130.19999999999999"/>
    <x v="0"/>
    <d v="2025-01-03T00:00:00"/>
    <x v="3"/>
    <x v="2"/>
    <x v="2"/>
    <x v="0"/>
    <x v="3"/>
    <x v="1"/>
    <x v="0"/>
    <x v="3"/>
  </r>
  <r>
    <x v="34"/>
    <x v="11"/>
    <x v="1"/>
    <n v="32"/>
    <n v="64"/>
    <x v="0"/>
    <d v="2025-01-04T00:00:00"/>
    <x v="1"/>
    <x v="0"/>
    <x v="2"/>
    <x v="0"/>
    <x v="3"/>
    <x v="2"/>
    <x v="0"/>
    <x v="1"/>
  </r>
  <r>
    <x v="35"/>
    <x v="8"/>
    <x v="1"/>
    <n v="15.8"/>
    <n v="31.6"/>
    <x v="0"/>
    <d v="2025-01-02T00:00:00"/>
    <x v="1"/>
    <x v="4"/>
    <x v="2"/>
    <x v="0"/>
    <x v="3"/>
    <x v="3"/>
    <x v="0"/>
    <x v="1"/>
  </r>
  <r>
    <x v="36"/>
    <x v="2"/>
    <x v="14"/>
    <n v="203.1"/>
    <n v="3452.7"/>
    <x v="0"/>
    <d v="2025-01-05T00:00:00"/>
    <x v="1"/>
    <x v="3"/>
    <x v="1"/>
    <x v="0"/>
    <x v="3"/>
    <x v="5"/>
    <x v="0"/>
    <x v="1"/>
  </r>
  <r>
    <x v="37"/>
    <x v="7"/>
    <x v="15"/>
    <n v="39"/>
    <n v="507"/>
    <x v="0"/>
    <d v="2025-01-07T00:00:00"/>
    <x v="1"/>
    <x v="0"/>
    <x v="2"/>
    <x v="0"/>
    <x v="3"/>
    <x v="4"/>
    <x v="0"/>
    <x v="1"/>
  </r>
  <r>
    <x v="38"/>
    <x v="10"/>
    <x v="0"/>
    <n v="26.5"/>
    <n v="26.5"/>
    <x v="1"/>
    <d v="2025-01-03T00:00:00"/>
    <x v="1"/>
    <x v="2"/>
    <x v="0"/>
    <x v="0"/>
    <x v="3"/>
    <x v="3"/>
    <x v="0"/>
    <x v="1"/>
  </r>
  <r>
    <x v="39"/>
    <x v="5"/>
    <x v="0"/>
    <n v="43.1"/>
    <n v="43.1"/>
    <x v="1"/>
    <d v="2025-01-03T00:00:00"/>
    <x v="2"/>
    <x v="2"/>
    <x v="1"/>
    <x v="0"/>
    <x v="3"/>
    <x v="3"/>
    <x v="0"/>
    <x v="2"/>
  </r>
  <r>
    <x v="40"/>
    <x v="1"/>
    <x v="2"/>
    <n v="139"/>
    <n v="417"/>
    <x v="1"/>
    <d v="2025-01-03T00:00:00"/>
    <x v="2"/>
    <x v="4"/>
    <x v="2"/>
    <x v="0"/>
    <x v="3"/>
    <x v="3"/>
    <x v="0"/>
    <x v="2"/>
  </r>
  <r>
    <x v="41"/>
    <x v="12"/>
    <x v="0"/>
    <n v="80.7"/>
    <n v="80.7"/>
    <x v="1"/>
    <d v="2025-01-03T00:00:00"/>
    <x v="1"/>
    <x v="0"/>
    <x v="2"/>
    <x v="0"/>
    <x v="16"/>
    <x v="3"/>
    <x v="0"/>
    <x v="1"/>
  </r>
  <r>
    <x v="42"/>
    <x v="4"/>
    <x v="1"/>
    <n v="54.5"/>
    <n v="109"/>
    <x v="1"/>
    <d v="2025-01-04T00:00:00"/>
    <x v="1"/>
    <x v="1"/>
    <x v="1"/>
    <x v="0"/>
    <x v="6"/>
    <x v="1"/>
    <x v="0"/>
    <x v="1"/>
  </r>
  <r>
    <x v="43"/>
    <x v="6"/>
    <x v="2"/>
    <n v="68.599999999999994"/>
    <n v="205.79999999999998"/>
    <x v="1"/>
    <d v="2025-01-02T00:00:00"/>
    <x v="2"/>
    <x v="0"/>
    <x v="1"/>
    <x v="0"/>
    <x v="8"/>
    <x v="7"/>
    <x v="0"/>
    <x v="2"/>
  </r>
  <r>
    <x v="44"/>
    <x v="2"/>
    <x v="12"/>
    <n v="135.9"/>
    <n v="543.6"/>
    <x v="1"/>
    <d v="2025-01-03T00:00:00"/>
    <x v="2"/>
    <x v="2"/>
    <x v="2"/>
    <x v="0"/>
    <x v="8"/>
    <x v="3"/>
    <x v="0"/>
    <x v="2"/>
  </r>
  <r>
    <x v="45"/>
    <x v="2"/>
    <x v="12"/>
    <n v="70.900000000000006"/>
    <n v="283.60000000000002"/>
    <x v="1"/>
    <d v="2025-01-03T00:00:00"/>
    <x v="2"/>
    <x v="0"/>
    <x v="0"/>
    <x v="0"/>
    <x v="17"/>
    <x v="3"/>
    <x v="0"/>
    <x v="2"/>
  </r>
  <r>
    <x v="46"/>
    <x v="1"/>
    <x v="9"/>
    <n v="63.7"/>
    <n v="318.5"/>
    <x v="1"/>
    <d v="2025-01-03T00:00:00"/>
    <x v="1"/>
    <x v="1"/>
    <x v="1"/>
    <x v="0"/>
    <x v="9"/>
    <x v="3"/>
    <x v="0"/>
    <x v="1"/>
  </r>
  <r>
    <x v="47"/>
    <x v="13"/>
    <x v="0"/>
    <n v="29.7"/>
    <n v="29.7"/>
    <x v="1"/>
    <d v="2025-01-04T00:00:00"/>
    <x v="2"/>
    <x v="1"/>
    <x v="0"/>
    <x v="0"/>
    <x v="11"/>
    <x v="1"/>
    <x v="0"/>
    <x v="2"/>
  </r>
  <r>
    <x v="48"/>
    <x v="4"/>
    <x v="2"/>
    <n v="26.8"/>
    <n v="80.400000000000006"/>
    <x v="1"/>
    <d v="2025-01-11T00:00:00"/>
    <x v="2"/>
    <x v="1"/>
    <x v="2"/>
    <x v="0"/>
    <x v="11"/>
    <x v="8"/>
    <x v="0"/>
    <x v="2"/>
  </r>
  <r>
    <x v="49"/>
    <x v="14"/>
    <x v="0"/>
    <n v="27"/>
    <n v="27"/>
    <x v="1"/>
    <d v="2025-01-04T00:00:00"/>
    <x v="2"/>
    <x v="0"/>
    <x v="0"/>
    <x v="0"/>
    <x v="18"/>
    <x v="1"/>
    <x v="0"/>
    <x v="2"/>
  </r>
  <r>
    <x v="50"/>
    <x v="8"/>
    <x v="0"/>
    <n v="41.4"/>
    <n v="41.4"/>
    <x v="1"/>
    <d v="2025-01-03T00:00:00"/>
    <x v="1"/>
    <x v="1"/>
    <x v="2"/>
    <x v="0"/>
    <x v="19"/>
    <x v="3"/>
    <x v="0"/>
    <x v="1"/>
  </r>
  <r>
    <x v="51"/>
    <x v="8"/>
    <x v="1"/>
    <n v="24.3"/>
    <n v="48.6"/>
    <x v="1"/>
    <d v="2025-01-05T00:00:00"/>
    <x v="2"/>
    <x v="1"/>
    <x v="0"/>
    <x v="0"/>
    <x v="19"/>
    <x v="2"/>
    <x v="0"/>
    <x v="2"/>
  </r>
  <r>
    <x v="52"/>
    <x v="8"/>
    <x v="2"/>
    <n v="41.7"/>
    <n v="125.10000000000001"/>
    <x v="1"/>
    <d v="2025-01-04T00:00:00"/>
    <x v="1"/>
    <x v="0"/>
    <x v="2"/>
    <x v="0"/>
    <x v="20"/>
    <x v="1"/>
    <x v="0"/>
    <x v="1"/>
  </r>
  <r>
    <x v="53"/>
    <x v="0"/>
    <x v="1"/>
    <n v="18"/>
    <n v="36"/>
    <x v="1"/>
    <d v="2025-01-03T00:00:00"/>
    <x v="2"/>
    <x v="0"/>
    <x v="2"/>
    <x v="0"/>
    <x v="21"/>
    <x v="3"/>
    <x v="0"/>
    <x v="2"/>
  </r>
  <r>
    <x v="54"/>
    <x v="7"/>
    <x v="2"/>
    <n v="91.3"/>
    <n v="273.89999999999998"/>
    <x v="1"/>
    <d v="2025-01-05T00:00:00"/>
    <x v="1"/>
    <x v="2"/>
    <x v="2"/>
    <x v="0"/>
    <x v="3"/>
    <x v="2"/>
    <x v="0"/>
    <x v="1"/>
  </r>
  <r>
    <x v="55"/>
    <x v="8"/>
    <x v="8"/>
    <n v="19.3"/>
    <n v="154.4"/>
    <x v="1"/>
    <d v="2025-01-03T00:00:00"/>
    <x v="1"/>
    <x v="0"/>
    <x v="0"/>
    <x v="0"/>
    <x v="3"/>
    <x v="3"/>
    <x v="0"/>
    <x v="1"/>
  </r>
  <r>
    <x v="56"/>
    <x v="12"/>
    <x v="15"/>
    <n v="63.2"/>
    <n v="821.6"/>
    <x v="1"/>
    <d v="2025-01-03T00:00:00"/>
    <x v="2"/>
    <x v="0"/>
    <x v="0"/>
    <x v="0"/>
    <x v="3"/>
    <x v="3"/>
    <x v="0"/>
    <x v="2"/>
  </r>
  <r>
    <x v="57"/>
    <x v="10"/>
    <x v="11"/>
    <n v="33.299999999999997"/>
    <n v="299.7"/>
    <x v="2"/>
    <d v="2025-01-11T00:00:00"/>
    <x v="2"/>
    <x v="0"/>
    <x v="2"/>
    <x v="0"/>
    <x v="3"/>
    <x v="9"/>
    <x v="0"/>
    <x v="2"/>
  </r>
  <r>
    <x v="58"/>
    <x v="7"/>
    <x v="1"/>
    <n v="64.2"/>
    <n v="128.4"/>
    <x v="2"/>
    <d v="2025-01-04T00:00:00"/>
    <x v="1"/>
    <x v="0"/>
    <x v="2"/>
    <x v="0"/>
    <x v="3"/>
    <x v="3"/>
    <x v="0"/>
    <x v="1"/>
  </r>
  <r>
    <x v="59"/>
    <x v="9"/>
    <x v="2"/>
    <n v="23.1"/>
    <n v="69.300000000000011"/>
    <x v="2"/>
    <d v="2025-01-06T00:00:00"/>
    <x v="2"/>
    <x v="1"/>
    <x v="2"/>
    <x v="0"/>
    <x v="3"/>
    <x v="2"/>
    <x v="0"/>
    <x v="2"/>
  </r>
  <r>
    <x v="60"/>
    <x v="15"/>
    <x v="1"/>
    <n v="71.099999999999994"/>
    <n v="142.19999999999999"/>
    <x v="2"/>
    <d v="2025-01-05T00:00:00"/>
    <x v="2"/>
    <x v="3"/>
    <x v="1"/>
    <x v="0"/>
    <x v="3"/>
    <x v="1"/>
    <x v="0"/>
    <x v="2"/>
  </r>
  <r>
    <x v="61"/>
    <x v="0"/>
    <x v="1"/>
    <n v="11.5"/>
    <n v="23"/>
    <x v="2"/>
    <d v="2025-01-04T00:00:00"/>
    <x v="2"/>
    <x v="0"/>
    <x v="0"/>
    <x v="0"/>
    <x v="3"/>
    <x v="3"/>
    <x v="0"/>
    <x v="2"/>
  </r>
  <r>
    <x v="62"/>
    <x v="15"/>
    <x v="10"/>
    <n v="69.2"/>
    <n v="1314.8"/>
    <x v="2"/>
    <d v="2025-01-08T00:00:00"/>
    <x v="2"/>
    <x v="0"/>
    <x v="0"/>
    <x v="0"/>
    <x v="3"/>
    <x v="0"/>
    <x v="0"/>
    <x v="2"/>
  </r>
  <r>
    <x v="63"/>
    <x v="0"/>
    <x v="0"/>
    <n v="26.8"/>
    <n v="26.8"/>
    <x v="2"/>
    <d v="2025-01-04T00:00:00"/>
    <x v="1"/>
    <x v="2"/>
    <x v="4"/>
    <x v="0"/>
    <x v="3"/>
    <x v="3"/>
    <x v="0"/>
    <x v="1"/>
  </r>
  <r>
    <x v="64"/>
    <x v="16"/>
    <x v="2"/>
    <n v="31.2"/>
    <n v="93.6"/>
    <x v="2"/>
    <d v="2025-01-06T00:00:00"/>
    <x v="2"/>
    <x v="0"/>
    <x v="0"/>
    <x v="0"/>
    <x v="3"/>
    <x v="2"/>
    <x v="0"/>
    <x v="2"/>
  </r>
  <r>
    <x v="65"/>
    <x v="12"/>
    <x v="1"/>
    <n v="113.2"/>
    <n v="226.4"/>
    <x v="2"/>
    <d v="2025-01-04T00:00:00"/>
    <x v="2"/>
    <x v="4"/>
    <x v="0"/>
    <x v="0"/>
    <x v="3"/>
    <x v="3"/>
    <x v="0"/>
    <x v="2"/>
  </r>
  <r>
    <x v="66"/>
    <x v="10"/>
    <x v="8"/>
    <n v="21"/>
    <n v="168"/>
    <x v="2"/>
    <d v="2025-01-04T00:00:00"/>
    <x v="1"/>
    <x v="0"/>
    <x v="0"/>
    <x v="0"/>
    <x v="6"/>
    <x v="3"/>
    <x v="0"/>
    <x v="1"/>
  </r>
  <r>
    <x v="67"/>
    <x v="1"/>
    <x v="1"/>
    <n v="89.1"/>
    <n v="178.2"/>
    <x v="2"/>
    <d v="2025-01-04T00:00:00"/>
    <x v="2"/>
    <x v="2"/>
    <x v="2"/>
    <x v="0"/>
    <x v="6"/>
    <x v="3"/>
    <x v="0"/>
    <x v="2"/>
  </r>
  <r>
    <x v="68"/>
    <x v="1"/>
    <x v="0"/>
    <n v="97.7"/>
    <n v="97.7"/>
    <x v="2"/>
    <d v="2025-01-05T00:00:00"/>
    <x v="2"/>
    <x v="0"/>
    <x v="1"/>
    <x v="0"/>
    <x v="6"/>
    <x v="1"/>
    <x v="0"/>
    <x v="2"/>
  </r>
  <r>
    <x v="69"/>
    <x v="15"/>
    <x v="12"/>
    <n v="97.7"/>
    <n v="390.8"/>
    <x v="2"/>
    <d v="2025-01-05T00:00:00"/>
    <x v="1"/>
    <x v="3"/>
    <x v="0"/>
    <x v="0"/>
    <x v="6"/>
    <x v="1"/>
    <x v="0"/>
    <x v="1"/>
  </r>
  <r>
    <x v="70"/>
    <x v="17"/>
    <x v="2"/>
    <n v="47.4"/>
    <n v="142.19999999999999"/>
    <x v="2"/>
    <d v="2025-01-06T00:00:00"/>
    <x v="1"/>
    <x v="3"/>
    <x v="2"/>
    <x v="0"/>
    <x v="8"/>
    <x v="2"/>
    <x v="0"/>
    <x v="1"/>
  </r>
  <r>
    <x v="71"/>
    <x v="7"/>
    <x v="0"/>
    <n v="89.6"/>
    <n v="89.6"/>
    <x v="2"/>
    <d v="2025-01-06T00:00:00"/>
    <x v="2"/>
    <x v="0"/>
    <x v="2"/>
    <x v="0"/>
    <x v="8"/>
    <x v="2"/>
    <x v="0"/>
    <x v="2"/>
  </r>
  <r>
    <x v="72"/>
    <x v="10"/>
    <x v="16"/>
    <n v="28.4"/>
    <n v="511.2"/>
    <x v="2"/>
    <d v="2025-01-06T00:00:00"/>
    <x v="2"/>
    <x v="3"/>
    <x v="2"/>
    <x v="0"/>
    <x v="17"/>
    <x v="2"/>
    <x v="0"/>
    <x v="2"/>
  </r>
  <r>
    <x v="73"/>
    <x v="0"/>
    <x v="1"/>
    <n v="17.899999999999999"/>
    <n v="35.799999999999997"/>
    <x v="2"/>
    <d v="2025-01-04T00:00:00"/>
    <x v="2"/>
    <x v="0"/>
    <x v="2"/>
    <x v="0"/>
    <x v="9"/>
    <x v="3"/>
    <x v="0"/>
    <x v="2"/>
  </r>
  <r>
    <x v="74"/>
    <x v="9"/>
    <x v="1"/>
    <n v="48.4"/>
    <n v="96.8"/>
    <x v="2"/>
    <d v="2025-01-06T00:00:00"/>
    <x v="1"/>
    <x v="1"/>
    <x v="0"/>
    <x v="0"/>
    <x v="9"/>
    <x v="2"/>
    <x v="0"/>
    <x v="1"/>
  </r>
  <r>
    <x v="75"/>
    <x v="12"/>
    <x v="12"/>
    <n v="44.4"/>
    <n v="177.6"/>
    <x v="2"/>
    <d v="2025-01-04T00:00:00"/>
    <x v="3"/>
    <x v="1"/>
    <x v="1"/>
    <x v="0"/>
    <x v="11"/>
    <x v="3"/>
    <x v="0"/>
    <x v="3"/>
  </r>
  <r>
    <x v="76"/>
    <x v="2"/>
    <x v="8"/>
    <n v="103.7"/>
    <n v="829.6"/>
    <x v="2"/>
    <d v="2025-01-04T00:00:00"/>
    <x v="2"/>
    <x v="0"/>
    <x v="1"/>
    <x v="0"/>
    <x v="19"/>
    <x v="3"/>
    <x v="0"/>
    <x v="2"/>
  </r>
  <r>
    <x v="77"/>
    <x v="5"/>
    <x v="12"/>
    <n v="58.6"/>
    <n v="234.4"/>
    <x v="2"/>
    <d v="2025-01-05T00:00:00"/>
    <x v="1"/>
    <x v="3"/>
    <x v="0"/>
    <x v="0"/>
    <x v="19"/>
    <x v="1"/>
    <x v="0"/>
    <x v="1"/>
  </r>
  <r>
    <x v="78"/>
    <x v="9"/>
    <x v="12"/>
    <n v="54.8"/>
    <n v="219.2"/>
    <x v="2"/>
    <d v="2025-01-07T00:00:00"/>
    <x v="2"/>
    <x v="2"/>
    <x v="1"/>
    <x v="0"/>
    <x v="13"/>
    <x v="5"/>
    <x v="0"/>
    <x v="2"/>
  </r>
  <r>
    <x v="79"/>
    <x v="12"/>
    <x v="2"/>
    <n v="78.8"/>
    <n v="236.39999999999998"/>
    <x v="2"/>
    <d v="2025-01-09T00:00:00"/>
    <x v="2"/>
    <x v="4"/>
    <x v="1"/>
    <x v="0"/>
    <x v="21"/>
    <x v="4"/>
    <x v="0"/>
    <x v="2"/>
  </r>
  <r>
    <x v="80"/>
    <x v="18"/>
    <x v="9"/>
    <n v="36.799999999999997"/>
    <n v="184"/>
    <x v="2"/>
    <d v="2025-01-06T00:00:00"/>
    <x v="1"/>
    <x v="4"/>
    <x v="1"/>
    <x v="0"/>
    <x v="22"/>
    <x v="2"/>
    <x v="0"/>
    <x v="1"/>
  </r>
  <r>
    <x v="81"/>
    <x v="6"/>
    <x v="13"/>
    <n v="50.6"/>
    <n v="303.60000000000002"/>
    <x v="2"/>
    <d v="2025-01-05T00:00:00"/>
    <x v="2"/>
    <x v="3"/>
    <x v="0"/>
    <x v="0"/>
    <x v="3"/>
    <x v="1"/>
    <x v="0"/>
    <x v="2"/>
  </r>
  <r>
    <x v="82"/>
    <x v="15"/>
    <x v="2"/>
    <n v="36.799999999999997"/>
    <n v="110.39999999999999"/>
    <x v="2"/>
    <d v="2025-01-03T00:00:00"/>
    <x v="1"/>
    <x v="2"/>
    <x v="1"/>
    <x v="0"/>
    <x v="3"/>
    <x v="7"/>
    <x v="0"/>
    <x v="1"/>
  </r>
  <r>
    <x v="83"/>
    <x v="8"/>
    <x v="11"/>
    <n v="41.8"/>
    <n v="376.2"/>
    <x v="3"/>
    <d v="2025-01-10T00:00:00"/>
    <x v="2"/>
    <x v="3"/>
    <x v="0"/>
    <x v="0"/>
    <x v="3"/>
    <x v="4"/>
    <x v="0"/>
    <x v="2"/>
  </r>
  <r>
    <x v="84"/>
    <x v="18"/>
    <x v="0"/>
    <n v="77.3"/>
    <n v="77.3"/>
    <x v="3"/>
    <d v="2025-01-05T00:00:00"/>
    <x v="1"/>
    <x v="4"/>
    <x v="4"/>
    <x v="0"/>
    <x v="3"/>
    <x v="3"/>
    <x v="0"/>
    <x v="1"/>
  </r>
  <r>
    <x v="85"/>
    <x v="8"/>
    <x v="12"/>
    <n v="19.8"/>
    <n v="79.2"/>
    <x v="3"/>
    <d v="2025-01-10T00:00:00"/>
    <x v="1"/>
    <x v="1"/>
    <x v="2"/>
    <x v="0"/>
    <x v="3"/>
    <x v="4"/>
    <x v="0"/>
    <x v="1"/>
  </r>
  <r>
    <x v="86"/>
    <x v="13"/>
    <x v="12"/>
    <n v="15.5"/>
    <n v="62"/>
    <x v="3"/>
    <d v="2025-01-05T00:00:00"/>
    <x v="2"/>
    <x v="1"/>
    <x v="2"/>
    <x v="0"/>
    <x v="3"/>
    <x v="3"/>
    <x v="0"/>
    <x v="2"/>
  </r>
  <r>
    <x v="87"/>
    <x v="12"/>
    <x v="0"/>
    <n v="46.8"/>
    <n v="46.8"/>
    <x v="3"/>
    <d v="2025-01-08T00:00:00"/>
    <x v="1"/>
    <x v="0"/>
    <x v="2"/>
    <x v="0"/>
    <x v="3"/>
    <x v="5"/>
    <x v="0"/>
    <x v="1"/>
  </r>
  <r>
    <x v="88"/>
    <x v="9"/>
    <x v="11"/>
    <n v="28.6"/>
    <n v="257.40000000000003"/>
    <x v="3"/>
    <d v="2025-01-08T00:00:00"/>
    <x v="1"/>
    <x v="0"/>
    <x v="2"/>
    <x v="0"/>
    <x v="3"/>
    <x v="5"/>
    <x v="0"/>
    <x v="1"/>
  </r>
  <r>
    <x v="89"/>
    <x v="2"/>
    <x v="0"/>
    <n v="97.7"/>
    <n v="97.7"/>
    <x v="3"/>
    <d v="2025-01-07T00:00:00"/>
    <x v="2"/>
    <x v="1"/>
    <x v="0"/>
    <x v="0"/>
    <x v="3"/>
    <x v="2"/>
    <x v="0"/>
    <x v="2"/>
  </r>
  <r>
    <x v="90"/>
    <x v="9"/>
    <x v="9"/>
    <n v="54.7"/>
    <n v="273.5"/>
    <x v="3"/>
    <d v="2025-01-07T00:00:00"/>
    <x v="0"/>
    <x v="0"/>
    <x v="2"/>
    <x v="0"/>
    <x v="23"/>
    <x v="2"/>
    <x v="0"/>
    <x v="0"/>
  </r>
  <r>
    <x v="91"/>
    <x v="2"/>
    <x v="13"/>
    <n v="130.5"/>
    <n v="783"/>
    <x v="3"/>
    <d v="2025-01-06T00:00:00"/>
    <x v="2"/>
    <x v="0"/>
    <x v="1"/>
    <x v="0"/>
    <x v="23"/>
    <x v="1"/>
    <x v="0"/>
    <x v="2"/>
  </r>
  <r>
    <x v="92"/>
    <x v="11"/>
    <x v="1"/>
    <n v="50.4"/>
    <n v="100.8"/>
    <x v="3"/>
    <d v="2025-01-06T00:00:00"/>
    <x v="1"/>
    <x v="2"/>
    <x v="2"/>
    <x v="0"/>
    <x v="6"/>
    <x v="1"/>
    <x v="0"/>
    <x v="1"/>
  </r>
  <r>
    <x v="93"/>
    <x v="6"/>
    <x v="15"/>
    <n v="61.5"/>
    <n v="799.5"/>
    <x v="3"/>
    <d v="2025-01-05T00:00:00"/>
    <x v="0"/>
    <x v="3"/>
    <x v="1"/>
    <x v="0"/>
    <x v="11"/>
    <x v="3"/>
    <x v="0"/>
    <x v="0"/>
  </r>
  <r>
    <x v="94"/>
    <x v="9"/>
    <x v="12"/>
    <n v="30.1"/>
    <n v="120.4"/>
    <x v="3"/>
    <d v="2025-01-05T00:00:00"/>
    <x v="2"/>
    <x v="0"/>
    <x v="2"/>
    <x v="0"/>
    <x v="21"/>
    <x v="3"/>
    <x v="0"/>
    <x v="2"/>
  </r>
  <r>
    <x v="95"/>
    <x v="2"/>
    <x v="9"/>
    <n v="74.8"/>
    <n v="374"/>
    <x v="3"/>
    <d v="2025-01-05T00:00:00"/>
    <x v="2"/>
    <x v="1"/>
    <x v="0"/>
    <x v="0"/>
    <x v="1"/>
    <x v="3"/>
    <x v="0"/>
    <x v="2"/>
  </r>
  <r>
    <x v="96"/>
    <x v="16"/>
    <x v="2"/>
    <n v="64.900000000000006"/>
    <n v="194.70000000000002"/>
    <x v="3"/>
    <d v="2025-01-11T00:00:00"/>
    <x v="1"/>
    <x v="0"/>
    <x v="0"/>
    <x v="0"/>
    <x v="2"/>
    <x v="6"/>
    <x v="0"/>
    <x v="1"/>
  </r>
  <r>
    <x v="97"/>
    <x v="9"/>
    <x v="1"/>
    <n v="50.5"/>
    <n v="101"/>
    <x v="3"/>
    <d v="2025-01-06T00:00:00"/>
    <x v="1"/>
    <x v="1"/>
    <x v="0"/>
    <x v="0"/>
    <x v="22"/>
    <x v="1"/>
    <x v="0"/>
    <x v="1"/>
  </r>
  <r>
    <x v="98"/>
    <x v="11"/>
    <x v="3"/>
    <n v="63"/>
    <n v="441"/>
    <x v="3"/>
    <d v="2025-01-07T00:00:00"/>
    <x v="1"/>
    <x v="3"/>
    <x v="2"/>
    <x v="0"/>
    <x v="3"/>
    <x v="2"/>
    <x v="0"/>
    <x v="1"/>
  </r>
  <r>
    <x v="99"/>
    <x v="2"/>
    <x v="2"/>
    <n v="93.6"/>
    <n v="280.79999999999995"/>
    <x v="3"/>
    <d v="2025-01-17T00:00:00"/>
    <x v="2"/>
    <x v="0"/>
    <x v="2"/>
    <x v="0"/>
    <x v="3"/>
    <x v="10"/>
    <x v="0"/>
    <x v="2"/>
  </r>
  <r>
    <x v="100"/>
    <x v="5"/>
    <x v="17"/>
    <n v="41.4"/>
    <n v="1242"/>
    <x v="3"/>
    <d v="2025-01-08T00:00:00"/>
    <x v="1"/>
    <x v="2"/>
    <x v="2"/>
    <x v="0"/>
    <x v="3"/>
    <x v="5"/>
    <x v="0"/>
    <x v="1"/>
  </r>
  <r>
    <x v="101"/>
    <x v="2"/>
    <x v="1"/>
    <n v="160"/>
    <n v="320"/>
    <x v="4"/>
    <d v="2025-01-06T00:00:00"/>
    <x v="1"/>
    <x v="2"/>
    <x v="2"/>
    <x v="0"/>
    <x v="5"/>
    <x v="3"/>
    <x v="1"/>
    <x v="1"/>
  </r>
  <r>
    <x v="102"/>
    <x v="19"/>
    <x v="5"/>
    <n v="10.5"/>
    <n v="115.5"/>
    <x v="4"/>
    <d v="2025-01-08T00:00:00"/>
    <x v="2"/>
    <x v="4"/>
    <x v="0"/>
    <x v="0"/>
    <x v="8"/>
    <x v="2"/>
    <x v="1"/>
    <x v="2"/>
  </r>
  <r>
    <x v="103"/>
    <x v="10"/>
    <x v="1"/>
    <n v="53"/>
    <n v="106"/>
    <x v="4"/>
    <d v="2025-01-05T00:00:00"/>
    <x v="1"/>
    <x v="2"/>
    <x v="4"/>
    <x v="0"/>
    <x v="17"/>
    <x v="7"/>
    <x v="1"/>
    <x v="1"/>
  </r>
  <r>
    <x v="104"/>
    <x v="8"/>
    <x v="2"/>
    <n v="18.5"/>
    <n v="55.5"/>
    <x v="4"/>
    <d v="2025-01-10T00:00:00"/>
    <x v="2"/>
    <x v="1"/>
    <x v="2"/>
    <x v="0"/>
    <x v="11"/>
    <x v="0"/>
    <x v="1"/>
    <x v="2"/>
  </r>
  <r>
    <x v="105"/>
    <x v="16"/>
    <x v="2"/>
    <n v="84.5"/>
    <n v="253.5"/>
    <x v="4"/>
    <d v="2025-01-07T00:00:00"/>
    <x v="2"/>
    <x v="4"/>
    <x v="1"/>
    <x v="0"/>
    <x v="13"/>
    <x v="1"/>
    <x v="1"/>
    <x v="2"/>
  </r>
  <r>
    <x v="106"/>
    <x v="15"/>
    <x v="3"/>
    <n v="31.2"/>
    <n v="218.4"/>
    <x v="4"/>
    <d v="2025-01-05T00:00:00"/>
    <x v="2"/>
    <x v="2"/>
    <x v="2"/>
    <x v="0"/>
    <x v="3"/>
    <x v="7"/>
    <x v="1"/>
    <x v="2"/>
  </r>
  <r>
    <x v="107"/>
    <x v="8"/>
    <x v="16"/>
    <n v="32.6"/>
    <n v="586.80000000000007"/>
    <x v="4"/>
    <d v="2025-01-06T00:00:00"/>
    <x v="1"/>
    <x v="1"/>
    <x v="1"/>
    <x v="0"/>
    <x v="3"/>
    <x v="3"/>
    <x v="1"/>
    <x v="1"/>
  </r>
  <r>
    <x v="108"/>
    <x v="10"/>
    <x v="12"/>
    <n v="45.4"/>
    <n v="181.6"/>
    <x v="4"/>
    <d v="2025-01-07T00:00:00"/>
    <x v="1"/>
    <x v="1"/>
    <x v="0"/>
    <x v="0"/>
    <x v="3"/>
    <x v="1"/>
    <x v="1"/>
    <x v="1"/>
  </r>
  <r>
    <x v="109"/>
    <x v="2"/>
    <x v="4"/>
    <n v="120"/>
    <n v="1440"/>
    <x v="4"/>
    <d v="2025-01-06T00:00:00"/>
    <x v="2"/>
    <x v="2"/>
    <x v="4"/>
    <x v="0"/>
    <x v="3"/>
    <x v="3"/>
    <x v="1"/>
    <x v="2"/>
  </r>
  <r>
    <x v="110"/>
    <x v="0"/>
    <x v="12"/>
    <n v="18.899999999999999"/>
    <n v="75.599999999999994"/>
    <x v="4"/>
    <d v="2025-01-07T00:00:00"/>
    <x v="1"/>
    <x v="0"/>
    <x v="2"/>
    <x v="0"/>
    <x v="3"/>
    <x v="1"/>
    <x v="1"/>
    <x v="1"/>
  </r>
  <r>
    <x v="111"/>
    <x v="4"/>
    <x v="0"/>
    <n v="32"/>
    <n v="32"/>
    <x v="4"/>
    <d v="2025-01-07T00:00:00"/>
    <x v="2"/>
    <x v="4"/>
    <x v="0"/>
    <x v="0"/>
    <x v="3"/>
    <x v="1"/>
    <x v="1"/>
    <x v="2"/>
  </r>
  <r>
    <x v="112"/>
    <x v="7"/>
    <x v="1"/>
    <n v="37.299999999999997"/>
    <n v="74.599999999999994"/>
    <x v="4"/>
    <d v="2025-01-06T00:00:00"/>
    <x v="1"/>
    <x v="2"/>
    <x v="0"/>
    <x v="0"/>
    <x v="3"/>
    <x v="3"/>
    <x v="1"/>
    <x v="1"/>
  </r>
  <r>
    <x v="113"/>
    <x v="18"/>
    <x v="0"/>
    <n v="119.8"/>
    <n v="119.8"/>
    <x v="4"/>
    <d v="2025-01-06T00:00:00"/>
    <x v="1"/>
    <x v="1"/>
    <x v="1"/>
    <x v="0"/>
    <x v="3"/>
    <x v="3"/>
    <x v="1"/>
    <x v="1"/>
  </r>
  <r>
    <x v="114"/>
    <x v="10"/>
    <x v="1"/>
    <n v="26.4"/>
    <n v="52.8"/>
    <x v="4"/>
    <d v="2025-01-08T00:00:00"/>
    <x v="1"/>
    <x v="2"/>
    <x v="0"/>
    <x v="0"/>
    <x v="3"/>
    <x v="2"/>
    <x v="1"/>
    <x v="1"/>
  </r>
  <r>
    <x v="115"/>
    <x v="6"/>
    <x v="13"/>
    <n v="76.5"/>
    <n v="459"/>
    <x v="4"/>
    <d v="2025-01-06T00:00:00"/>
    <x v="2"/>
    <x v="1"/>
    <x v="1"/>
    <x v="0"/>
    <x v="3"/>
    <x v="3"/>
    <x v="1"/>
    <x v="2"/>
  </r>
  <r>
    <x v="116"/>
    <x v="4"/>
    <x v="7"/>
    <n v="45.7"/>
    <n v="457"/>
    <x v="4"/>
    <d v="2025-01-06T00:00:00"/>
    <x v="2"/>
    <x v="2"/>
    <x v="0"/>
    <x v="0"/>
    <x v="24"/>
    <x v="3"/>
    <x v="1"/>
    <x v="2"/>
  </r>
  <r>
    <x v="117"/>
    <x v="1"/>
    <x v="4"/>
    <n v="92.6"/>
    <n v="1111.1999999999998"/>
    <x v="4"/>
    <d v="2025-01-07T00:00:00"/>
    <x v="2"/>
    <x v="2"/>
    <x v="0"/>
    <x v="0"/>
    <x v="25"/>
    <x v="1"/>
    <x v="1"/>
    <x v="2"/>
  </r>
  <r>
    <x v="118"/>
    <x v="6"/>
    <x v="13"/>
    <n v="60.1"/>
    <n v="360.6"/>
    <x v="4"/>
    <d v="2025-01-06T00:00:00"/>
    <x v="1"/>
    <x v="1"/>
    <x v="0"/>
    <x v="0"/>
    <x v="23"/>
    <x v="3"/>
    <x v="1"/>
    <x v="1"/>
  </r>
  <r>
    <x v="119"/>
    <x v="1"/>
    <x v="2"/>
    <n v="73"/>
    <n v="219"/>
    <x v="4"/>
    <d v="2025-01-06T00:00:00"/>
    <x v="2"/>
    <x v="3"/>
    <x v="1"/>
    <x v="0"/>
    <x v="6"/>
    <x v="3"/>
    <x v="1"/>
    <x v="2"/>
  </r>
  <r>
    <x v="120"/>
    <x v="6"/>
    <x v="2"/>
    <n v="44.3"/>
    <n v="132.89999999999998"/>
    <x v="4"/>
    <d v="2025-01-09T00:00:00"/>
    <x v="0"/>
    <x v="2"/>
    <x v="2"/>
    <x v="0"/>
    <x v="6"/>
    <x v="5"/>
    <x v="1"/>
    <x v="0"/>
  </r>
  <r>
    <x v="121"/>
    <x v="6"/>
    <x v="2"/>
    <n v="63.3"/>
    <n v="189.89999999999998"/>
    <x v="4"/>
    <d v="2025-01-06T00:00:00"/>
    <x v="1"/>
    <x v="2"/>
    <x v="0"/>
    <x v="0"/>
    <x v="6"/>
    <x v="3"/>
    <x v="1"/>
    <x v="1"/>
  </r>
  <r>
    <x v="122"/>
    <x v="12"/>
    <x v="0"/>
    <n v="66.8"/>
    <n v="66.8"/>
    <x v="4"/>
    <d v="2025-01-06T00:00:00"/>
    <x v="2"/>
    <x v="1"/>
    <x v="0"/>
    <x v="0"/>
    <x v="6"/>
    <x v="3"/>
    <x v="1"/>
    <x v="2"/>
  </r>
  <r>
    <x v="123"/>
    <x v="2"/>
    <x v="1"/>
    <n v="59.7"/>
    <n v="119.4"/>
    <x v="4"/>
    <d v="2025-01-06T00:00:00"/>
    <x v="2"/>
    <x v="0"/>
    <x v="0"/>
    <x v="0"/>
    <x v="7"/>
    <x v="3"/>
    <x v="1"/>
    <x v="2"/>
  </r>
  <r>
    <x v="124"/>
    <x v="1"/>
    <x v="13"/>
    <n v="92"/>
    <n v="552"/>
    <x v="4"/>
    <d v="2025-01-07T00:00:00"/>
    <x v="1"/>
    <x v="0"/>
    <x v="4"/>
    <x v="0"/>
    <x v="7"/>
    <x v="1"/>
    <x v="1"/>
    <x v="1"/>
  </r>
  <r>
    <x v="125"/>
    <x v="7"/>
    <x v="1"/>
    <n v="87.6"/>
    <n v="175.2"/>
    <x v="4"/>
    <d v="2025-01-07T00:00:00"/>
    <x v="1"/>
    <x v="1"/>
    <x v="1"/>
    <x v="0"/>
    <x v="8"/>
    <x v="1"/>
    <x v="1"/>
    <x v="1"/>
  </r>
  <r>
    <x v="126"/>
    <x v="6"/>
    <x v="2"/>
    <n v="84.5"/>
    <n v="253.5"/>
    <x v="4"/>
    <d v="2025-01-06T00:00:00"/>
    <x v="2"/>
    <x v="1"/>
    <x v="1"/>
    <x v="0"/>
    <x v="8"/>
    <x v="3"/>
    <x v="1"/>
    <x v="2"/>
  </r>
  <r>
    <x v="127"/>
    <x v="1"/>
    <x v="1"/>
    <n v="116.3"/>
    <n v="232.6"/>
    <x v="5"/>
    <d v="2025-01-08T00:00:00"/>
    <x v="1"/>
    <x v="2"/>
    <x v="2"/>
    <x v="0"/>
    <x v="8"/>
    <x v="1"/>
    <x v="1"/>
    <x v="1"/>
  </r>
  <r>
    <x v="128"/>
    <x v="6"/>
    <x v="9"/>
    <n v="52.7"/>
    <n v="263.5"/>
    <x v="5"/>
    <d v="2025-01-10T00:00:00"/>
    <x v="1"/>
    <x v="0"/>
    <x v="0"/>
    <x v="0"/>
    <x v="8"/>
    <x v="5"/>
    <x v="1"/>
    <x v="1"/>
  </r>
  <r>
    <x v="129"/>
    <x v="16"/>
    <x v="2"/>
    <n v="34.200000000000003"/>
    <n v="102.60000000000001"/>
    <x v="5"/>
    <d v="2025-01-07T00:00:00"/>
    <x v="1"/>
    <x v="0"/>
    <x v="2"/>
    <x v="0"/>
    <x v="26"/>
    <x v="3"/>
    <x v="1"/>
    <x v="1"/>
  </r>
  <r>
    <x v="130"/>
    <x v="9"/>
    <x v="0"/>
    <n v="23.3"/>
    <n v="23.3"/>
    <x v="5"/>
    <d v="2025-01-15T00:00:00"/>
    <x v="3"/>
    <x v="2"/>
    <x v="2"/>
    <x v="0"/>
    <x v="9"/>
    <x v="8"/>
    <x v="1"/>
    <x v="3"/>
  </r>
  <r>
    <x v="131"/>
    <x v="0"/>
    <x v="18"/>
    <n v="25.9"/>
    <n v="673.4"/>
    <x v="5"/>
    <d v="2025-01-09T00:00:00"/>
    <x v="2"/>
    <x v="4"/>
    <x v="1"/>
    <x v="0"/>
    <x v="9"/>
    <x v="2"/>
    <x v="1"/>
    <x v="2"/>
  </r>
  <r>
    <x v="132"/>
    <x v="6"/>
    <x v="19"/>
    <n v="54.9"/>
    <n v="1592.1"/>
    <x v="5"/>
    <d v="2025-01-07T00:00:00"/>
    <x v="1"/>
    <x v="1"/>
    <x v="2"/>
    <x v="0"/>
    <x v="9"/>
    <x v="3"/>
    <x v="1"/>
    <x v="1"/>
  </r>
  <r>
    <x v="133"/>
    <x v="5"/>
    <x v="2"/>
    <n v="75.8"/>
    <n v="227.39999999999998"/>
    <x v="5"/>
    <d v="2025-01-11T00:00:00"/>
    <x v="3"/>
    <x v="1"/>
    <x v="0"/>
    <x v="0"/>
    <x v="18"/>
    <x v="0"/>
    <x v="1"/>
    <x v="3"/>
  </r>
  <r>
    <x v="134"/>
    <x v="1"/>
    <x v="11"/>
    <n v="44.9"/>
    <n v="404.09999999999997"/>
    <x v="5"/>
    <d v="2025-01-09T00:00:00"/>
    <x v="2"/>
    <x v="2"/>
    <x v="2"/>
    <x v="0"/>
    <x v="2"/>
    <x v="2"/>
    <x v="1"/>
    <x v="2"/>
  </r>
  <r>
    <x v="135"/>
    <x v="11"/>
    <x v="1"/>
    <n v="48.8"/>
    <n v="97.6"/>
    <x v="5"/>
    <d v="2025-01-08T00:00:00"/>
    <x v="2"/>
    <x v="3"/>
    <x v="0"/>
    <x v="0"/>
    <x v="27"/>
    <x v="1"/>
    <x v="1"/>
    <x v="2"/>
  </r>
  <r>
    <x v="136"/>
    <x v="15"/>
    <x v="0"/>
    <n v="20.3"/>
    <n v="20.3"/>
    <x v="5"/>
    <d v="2025-01-07T00:00:00"/>
    <x v="2"/>
    <x v="0"/>
    <x v="2"/>
    <x v="0"/>
    <x v="22"/>
    <x v="3"/>
    <x v="1"/>
    <x v="2"/>
  </r>
  <r>
    <x v="137"/>
    <x v="5"/>
    <x v="3"/>
    <n v="36.4"/>
    <n v="254.79999999999998"/>
    <x v="5"/>
    <d v="2025-01-09T00:00:00"/>
    <x v="2"/>
    <x v="0"/>
    <x v="1"/>
    <x v="0"/>
    <x v="3"/>
    <x v="2"/>
    <x v="1"/>
    <x v="2"/>
  </r>
  <r>
    <x v="138"/>
    <x v="0"/>
    <x v="0"/>
    <n v="19"/>
    <n v="19"/>
    <x v="5"/>
    <d v="2025-01-11T00:00:00"/>
    <x v="2"/>
    <x v="1"/>
    <x v="2"/>
    <x v="0"/>
    <x v="3"/>
    <x v="0"/>
    <x v="1"/>
    <x v="2"/>
  </r>
  <r>
    <x v="139"/>
    <x v="8"/>
    <x v="0"/>
    <n v="17.8"/>
    <n v="17.8"/>
    <x v="5"/>
    <d v="2025-01-06T00:00:00"/>
    <x v="1"/>
    <x v="0"/>
    <x v="0"/>
    <x v="0"/>
    <x v="3"/>
    <x v="7"/>
    <x v="1"/>
    <x v="1"/>
  </r>
  <r>
    <x v="140"/>
    <x v="2"/>
    <x v="13"/>
    <n v="139.6"/>
    <n v="837.59999999999991"/>
    <x v="5"/>
    <d v="2025-01-09T00:00:00"/>
    <x v="1"/>
    <x v="0"/>
    <x v="0"/>
    <x v="0"/>
    <x v="3"/>
    <x v="2"/>
    <x v="1"/>
    <x v="1"/>
  </r>
  <r>
    <x v="141"/>
    <x v="9"/>
    <x v="0"/>
    <n v="31.7"/>
    <n v="31.7"/>
    <x v="5"/>
    <d v="2025-01-06T00:00:00"/>
    <x v="0"/>
    <x v="0"/>
    <x v="0"/>
    <x v="0"/>
    <x v="3"/>
    <x v="7"/>
    <x v="1"/>
    <x v="0"/>
  </r>
  <r>
    <x v="142"/>
    <x v="8"/>
    <x v="8"/>
    <n v="26.3"/>
    <n v="210.4"/>
    <x v="5"/>
    <d v="2025-01-09T00:00:00"/>
    <x v="2"/>
    <x v="4"/>
    <x v="4"/>
    <x v="0"/>
    <x v="3"/>
    <x v="2"/>
    <x v="1"/>
    <x v="2"/>
  </r>
  <r>
    <x v="143"/>
    <x v="4"/>
    <x v="1"/>
    <n v="47.8"/>
    <n v="95.6"/>
    <x v="5"/>
    <d v="2025-01-07T00:00:00"/>
    <x v="0"/>
    <x v="0"/>
    <x v="0"/>
    <x v="0"/>
    <x v="3"/>
    <x v="3"/>
    <x v="1"/>
    <x v="0"/>
  </r>
  <r>
    <x v="144"/>
    <x v="9"/>
    <x v="2"/>
    <n v="69.400000000000006"/>
    <n v="208.20000000000002"/>
    <x v="5"/>
    <d v="2025-01-10T00:00:00"/>
    <x v="2"/>
    <x v="0"/>
    <x v="0"/>
    <x v="0"/>
    <x v="3"/>
    <x v="5"/>
    <x v="1"/>
    <x v="2"/>
  </r>
  <r>
    <x v="145"/>
    <x v="18"/>
    <x v="4"/>
    <n v="25.8"/>
    <n v="309.60000000000002"/>
    <x v="5"/>
    <d v="2025-01-07T00:00:00"/>
    <x v="1"/>
    <x v="4"/>
    <x v="4"/>
    <x v="0"/>
    <x v="3"/>
    <x v="3"/>
    <x v="1"/>
    <x v="1"/>
  </r>
  <r>
    <x v="146"/>
    <x v="0"/>
    <x v="12"/>
    <n v="26.4"/>
    <n v="105.6"/>
    <x v="5"/>
    <d v="2025-01-07T00:00:00"/>
    <x v="1"/>
    <x v="1"/>
    <x v="2"/>
    <x v="0"/>
    <x v="3"/>
    <x v="3"/>
    <x v="1"/>
    <x v="1"/>
  </r>
  <r>
    <x v="147"/>
    <x v="8"/>
    <x v="12"/>
    <n v="15.7"/>
    <n v="62.8"/>
    <x v="5"/>
    <d v="2025-01-07T00:00:00"/>
    <x v="1"/>
    <x v="2"/>
    <x v="0"/>
    <x v="0"/>
    <x v="3"/>
    <x v="3"/>
    <x v="1"/>
    <x v="1"/>
  </r>
  <r>
    <x v="148"/>
    <x v="8"/>
    <x v="0"/>
    <n v="39.700000000000003"/>
    <n v="39.700000000000003"/>
    <x v="5"/>
    <d v="2025-01-10T00:00:00"/>
    <x v="1"/>
    <x v="0"/>
    <x v="0"/>
    <x v="0"/>
    <x v="3"/>
    <x v="5"/>
    <x v="1"/>
    <x v="1"/>
  </r>
  <r>
    <x v="149"/>
    <x v="10"/>
    <x v="12"/>
    <n v="31.1"/>
    <n v="124.4"/>
    <x v="5"/>
    <d v="2025-01-08T00:00:00"/>
    <x v="2"/>
    <x v="2"/>
    <x v="1"/>
    <x v="0"/>
    <x v="3"/>
    <x v="1"/>
    <x v="1"/>
    <x v="2"/>
  </r>
  <r>
    <x v="150"/>
    <x v="13"/>
    <x v="20"/>
    <n v="23.4"/>
    <n v="351"/>
    <x v="5"/>
    <d v="2025-01-15T00:00:00"/>
    <x v="1"/>
    <x v="0"/>
    <x v="0"/>
    <x v="0"/>
    <x v="3"/>
    <x v="8"/>
    <x v="1"/>
    <x v="1"/>
  </r>
  <r>
    <x v="151"/>
    <x v="1"/>
    <x v="12"/>
    <n v="57.1"/>
    <n v="228.4"/>
    <x v="6"/>
    <d v="2025-01-08T00:00:00"/>
    <x v="1"/>
    <x v="2"/>
    <x v="0"/>
    <x v="0"/>
    <x v="25"/>
    <x v="3"/>
    <x v="1"/>
    <x v="1"/>
  </r>
  <r>
    <x v="152"/>
    <x v="2"/>
    <x v="9"/>
    <n v="89.9"/>
    <n v="449.5"/>
    <x v="6"/>
    <d v="2025-01-07T00:00:00"/>
    <x v="2"/>
    <x v="0"/>
    <x v="3"/>
    <x v="0"/>
    <x v="23"/>
    <x v="7"/>
    <x v="1"/>
    <x v="2"/>
  </r>
  <r>
    <x v="153"/>
    <x v="10"/>
    <x v="3"/>
    <n v="48.1"/>
    <n v="336.7"/>
    <x v="6"/>
    <d v="2025-01-09T00:00:00"/>
    <x v="2"/>
    <x v="1"/>
    <x v="2"/>
    <x v="0"/>
    <x v="6"/>
    <x v="1"/>
    <x v="1"/>
    <x v="2"/>
  </r>
  <r>
    <x v="154"/>
    <x v="8"/>
    <x v="1"/>
    <n v="29.3"/>
    <n v="58.6"/>
    <x v="6"/>
    <d v="2025-01-07T00:00:00"/>
    <x v="2"/>
    <x v="1"/>
    <x v="1"/>
    <x v="0"/>
    <x v="6"/>
    <x v="7"/>
    <x v="1"/>
    <x v="2"/>
  </r>
  <r>
    <x v="155"/>
    <x v="8"/>
    <x v="12"/>
    <n v="28.8"/>
    <n v="115.2"/>
    <x v="6"/>
    <d v="2025-01-08T00:00:00"/>
    <x v="2"/>
    <x v="0"/>
    <x v="4"/>
    <x v="0"/>
    <x v="6"/>
    <x v="3"/>
    <x v="1"/>
    <x v="2"/>
  </r>
  <r>
    <x v="156"/>
    <x v="10"/>
    <x v="9"/>
    <n v="40.5"/>
    <n v="202.5"/>
    <x v="6"/>
    <d v="2025-01-11T00:00:00"/>
    <x v="2"/>
    <x v="3"/>
    <x v="0"/>
    <x v="0"/>
    <x v="6"/>
    <x v="5"/>
    <x v="1"/>
    <x v="2"/>
  </r>
  <r>
    <x v="157"/>
    <x v="18"/>
    <x v="21"/>
    <n v="65.099999999999994"/>
    <n v="911.39999999999986"/>
    <x v="6"/>
    <d v="2025-01-08T00:00:00"/>
    <x v="2"/>
    <x v="4"/>
    <x v="0"/>
    <x v="0"/>
    <x v="7"/>
    <x v="3"/>
    <x v="1"/>
    <x v="2"/>
  </r>
  <r>
    <x v="158"/>
    <x v="8"/>
    <x v="12"/>
    <n v="40.299999999999997"/>
    <n v="161.19999999999999"/>
    <x v="6"/>
    <d v="2025-01-12T00:00:00"/>
    <x v="2"/>
    <x v="2"/>
    <x v="0"/>
    <x v="0"/>
    <x v="7"/>
    <x v="0"/>
    <x v="1"/>
    <x v="2"/>
  </r>
  <r>
    <x v="159"/>
    <x v="6"/>
    <x v="9"/>
    <n v="51.8"/>
    <n v="259"/>
    <x v="6"/>
    <d v="2025-01-08T00:00:00"/>
    <x v="1"/>
    <x v="2"/>
    <x v="2"/>
    <x v="0"/>
    <x v="8"/>
    <x v="3"/>
    <x v="1"/>
    <x v="1"/>
  </r>
  <r>
    <x v="160"/>
    <x v="6"/>
    <x v="2"/>
    <n v="61.3"/>
    <n v="183.89999999999998"/>
    <x v="6"/>
    <d v="2025-01-08T00:00:00"/>
    <x v="2"/>
    <x v="3"/>
    <x v="0"/>
    <x v="0"/>
    <x v="8"/>
    <x v="3"/>
    <x v="1"/>
    <x v="2"/>
  </r>
  <r>
    <x v="161"/>
    <x v="2"/>
    <x v="12"/>
    <n v="122.5"/>
    <n v="490"/>
    <x v="6"/>
    <d v="2025-01-08T00:00:00"/>
    <x v="1"/>
    <x v="0"/>
    <x v="0"/>
    <x v="0"/>
    <x v="8"/>
    <x v="3"/>
    <x v="1"/>
    <x v="1"/>
  </r>
  <r>
    <x v="162"/>
    <x v="0"/>
    <x v="11"/>
    <n v="12.5"/>
    <n v="112.5"/>
    <x v="6"/>
    <d v="2025-01-08T00:00:00"/>
    <x v="0"/>
    <x v="1"/>
    <x v="2"/>
    <x v="0"/>
    <x v="8"/>
    <x v="3"/>
    <x v="1"/>
    <x v="0"/>
  </r>
  <r>
    <x v="163"/>
    <x v="15"/>
    <x v="8"/>
    <n v="37.5"/>
    <n v="300"/>
    <x v="6"/>
    <d v="2025-01-08T00:00:00"/>
    <x v="2"/>
    <x v="0"/>
    <x v="0"/>
    <x v="0"/>
    <x v="9"/>
    <x v="3"/>
    <x v="1"/>
    <x v="2"/>
  </r>
  <r>
    <x v="164"/>
    <x v="6"/>
    <x v="2"/>
    <n v="40"/>
    <n v="120"/>
    <x v="6"/>
    <d v="2025-01-10T00:00:00"/>
    <x v="1"/>
    <x v="0"/>
    <x v="4"/>
    <x v="0"/>
    <x v="11"/>
    <x v="2"/>
    <x v="1"/>
    <x v="1"/>
  </r>
  <r>
    <x v="165"/>
    <x v="17"/>
    <x v="8"/>
    <n v="38.5"/>
    <n v="308"/>
    <x v="6"/>
    <d v="2025-01-12T00:00:00"/>
    <x v="2"/>
    <x v="2"/>
    <x v="1"/>
    <x v="0"/>
    <x v="11"/>
    <x v="0"/>
    <x v="1"/>
    <x v="2"/>
  </r>
  <r>
    <x v="166"/>
    <x v="2"/>
    <x v="1"/>
    <n v="86.4"/>
    <n v="172.8"/>
    <x v="6"/>
    <d v="2025-01-09T00:00:00"/>
    <x v="2"/>
    <x v="0"/>
    <x v="0"/>
    <x v="0"/>
    <x v="18"/>
    <x v="1"/>
    <x v="1"/>
    <x v="2"/>
  </r>
  <r>
    <x v="167"/>
    <x v="10"/>
    <x v="0"/>
    <n v="50.7"/>
    <n v="50.7"/>
    <x v="6"/>
    <d v="2025-01-11T00:00:00"/>
    <x v="2"/>
    <x v="1"/>
    <x v="0"/>
    <x v="0"/>
    <x v="18"/>
    <x v="5"/>
    <x v="1"/>
    <x v="2"/>
  </r>
  <r>
    <x v="168"/>
    <x v="10"/>
    <x v="1"/>
    <n v="61"/>
    <n v="122"/>
    <x v="6"/>
    <d v="2025-01-18T00:00:00"/>
    <x v="2"/>
    <x v="4"/>
    <x v="1"/>
    <x v="0"/>
    <x v="18"/>
    <x v="11"/>
    <x v="1"/>
    <x v="2"/>
  </r>
  <r>
    <x v="169"/>
    <x v="4"/>
    <x v="1"/>
    <n v="19.899999999999999"/>
    <n v="39.799999999999997"/>
    <x v="6"/>
    <d v="2025-01-10T00:00:00"/>
    <x v="2"/>
    <x v="1"/>
    <x v="0"/>
    <x v="0"/>
    <x v="28"/>
    <x v="2"/>
    <x v="1"/>
    <x v="2"/>
  </r>
  <r>
    <x v="170"/>
    <x v="5"/>
    <x v="0"/>
    <n v="78.3"/>
    <n v="78.3"/>
    <x v="6"/>
    <d v="2025-01-07T00:00:00"/>
    <x v="2"/>
    <x v="0"/>
    <x v="2"/>
    <x v="0"/>
    <x v="1"/>
    <x v="7"/>
    <x v="1"/>
    <x v="2"/>
  </r>
  <r>
    <x v="171"/>
    <x v="0"/>
    <x v="10"/>
    <n v="10.4"/>
    <n v="197.6"/>
    <x v="6"/>
    <d v="2025-01-09T00:00:00"/>
    <x v="1"/>
    <x v="0"/>
    <x v="2"/>
    <x v="0"/>
    <x v="2"/>
    <x v="1"/>
    <x v="1"/>
    <x v="1"/>
  </r>
  <r>
    <x v="172"/>
    <x v="10"/>
    <x v="0"/>
    <n v="36.1"/>
    <n v="36.1"/>
    <x v="6"/>
    <d v="2025-01-10T00:00:00"/>
    <x v="1"/>
    <x v="3"/>
    <x v="2"/>
    <x v="0"/>
    <x v="3"/>
    <x v="2"/>
    <x v="1"/>
    <x v="1"/>
  </r>
  <r>
    <x v="173"/>
    <x v="14"/>
    <x v="1"/>
    <n v="17.3"/>
    <n v="34.6"/>
    <x v="6"/>
    <d v="2025-01-09T00:00:00"/>
    <x v="2"/>
    <x v="1"/>
    <x v="2"/>
    <x v="0"/>
    <x v="3"/>
    <x v="1"/>
    <x v="1"/>
    <x v="2"/>
  </r>
  <r>
    <x v="174"/>
    <x v="10"/>
    <x v="1"/>
    <n v="30.5"/>
    <n v="61"/>
    <x v="6"/>
    <d v="2025-01-08T00:00:00"/>
    <x v="2"/>
    <x v="1"/>
    <x v="2"/>
    <x v="0"/>
    <x v="3"/>
    <x v="3"/>
    <x v="1"/>
    <x v="2"/>
  </r>
  <r>
    <x v="175"/>
    <x v="18"/>
    <x v="22"/>
    <n v="70.099999999999994"/>
    <n v="4346.2"/>
    <x v="6"/>
    <d v="2025-01-07T00:00:00"/>
    <x v="2"/>
    <x v="2"/>
    <x v="0"/>
    <x v="0"/>
    <x v="3"/>
    <x v="7"/>
    <x v="1"/>
    <x v="2"/>
  </r>
  <r>
    <x v="176"/>
    <x v="3"/>
    <x v="0"/>
    <n v="76.099999999999994"/>
    <n v="76.099999999999994"/>
    <x v="6"/>
    <d v="2025-01-07T00:00:00"/>
    <x v="2"/>
    <x v="2"/>
    <x v="1"/>
    <x v="0"/>
    <x v="3"/>
    <x v="7"/>
    <x v="1"/>
    <x v="2"/>
  </r>
  <r>
    <x v="177"/>
    <x v="15"/>
    <x v="15"/>
    <n v="34.200000000000003"/>
    <n v="444.6"/>
    <x v="6"/>
    <d v="2025-01-08T00:00:00"/>
    <x v="1"/>
    <x v="0"/>
    <x v="0"/>
    <x v="0"/>
    <x v="3"/>
    <x v="3"/>
    <x v="1"/>
    <x v="1"/>
  </r>
  <r>
    <x v="178"/>
    <x v="8"/>
    <x v="9"/>
    <n v="30.3"/>
    <n v="151.5"/>
    <x v="6"/>
    <d v="2025-01-12T00:00:00"/>
    <x v="2"/>
    <x v="4"/>
    <x v="0"/>
    <x v="0"/>
    <x v="3"/>
    <x v="0"/>
    <x v="1"/>
    <x v="2"/>
  </r>
  <r>
    <x v="179"/>
    <x v="6"/>
    <x v="9"/>
    <n v="52.5"/>
    <n v="262.5"/>
    <x v="6"/>
    <d v="2025-01-11T00:00:00"/>
    <x v="0"/>
    <x v="3"/>
    <x v="0"/>
    <x v="0"/>
    <x v="3"/>
    <x v="5"/>
    <x v="1"/>
    <x v="0"/>
  </r>
  <r>
    <x v="180"/>
    <x v="9"/>
    <x v="5"/>
    <n v="28.7"/>
    <n v="315.7"/>
    <x v="6"/>
    <d v="2025-01-08T00:00:00"/>
    <x v="2"/>
    <x v="2"/>
    <x v="0"/>
    <x v="0"/>
    <x v="3"/>
    <x v="3"/>
    <x v="1"/>
    <x v="2"/>
  </r>
  <r>
    <x v="181"/>
    <x v="7"/>
    <x v="3"/>
    <n v="52"/>
    <n v="364"/>
    <x v="6"/>
    <d v="2025-01-08T00:00:00"/>
    <x v="1"/>
    <x v="1"/>
    <x v="4"/>
    <x v="0"/>
    <x v="3"/>
    <x v="3"/>
    <x v="1"/>
    <x v="1"/>
  </r>
  <r>
    <x v="182"/>
    <x v="0"/>
    <x v="0"/>
    <n v="13.3"/>
    <n v="13.3"/>
    <x v="7"/>
    <d v="2025-01-12T00:00:00"/>
    <x v="2"/>
    <x v="2"/>
    <x v="1"/>
    <x v="0"/>
    <x v="3"/>
    <x v="5"/>
    <x v="1"/>
    <x v="2"/>
  </r>
  <r>
    <x v="183"/>
    <x v="0"/>
    <x v="2"/>
    <n v="15.7"/>
    <n v="47.099999999999994"/>
    <x v="7"/>
    <d v="2025-01-09T00:00:00"/>
    <x v="2"/>
    <x v="1"/>
    <x v="0"/>
    <x v="0"/>
    <x v="29"/>
    <x v="3"/>
    <x v="1"/>
    <x v="2"/>
  </r>
  <r>
    <x v="184"/>
    <x v="8"/>
    <x v="1"/>
    <n v="25.6"/>
    <n v="51.2"/>
    <x v="7"/>
    <d v="2025-01-09T00:00:00"/>
    <x v="1"/>
    <x v="0"/>
    <x v="2"/>
    <x v="0"/>
    <x v="23"/>
    <x v="3"/>
    <x v="1"/>
    <x v="1"/>
  </r>
  <r>
    <x v="185"/>
    <x v="8"/>
    <x v="0"/>
    <n v="43.4"/>
    <n v="43.4"/>
    <x v="7"/>
    <d v="2025-01-13T00:00:00"/>
    <x v="1"/>
    <x v="0"/>
    <x v="0"/>
    <x v="0"/>
    <x v="6"/>
    <x v="0"/>
    <x v="1"/>
    <x v="1"/>
  </r>
  <r>
    <x v="186"/>
    <x v="11"/>
    <x v="11"/>
    <n v="33.4"/>
    <n v="300.59999999999997"/>
    <x v="7"/>
    <d v="2025-01-08T00:00:00"/>
    <x v="2"/>
    <x v="0"/>
    <x v="0"/>
    <x v="0"/>
    <x v="8"/>
    <x v="7"/>
    <x v="1"/>
    <x v="2"/>
  </r>
  <r>
    <x v="187"/>
    <x v="8"/>
    <x v="10"/>
    <n v="55"/>
    <n v="1045"/>
    <x v="7"/>
    <d v="2025-01-09T00:00:00"/>
    <x v="2"/>
    <x v="1"/>
    <x v="2"/>
    <x v="0"/>
    <x v="8"/>
    <x v="3"/>
    <x v="1"/>
    <x v="2"/>
  </r>
  <r>
    <x v="188"/>
    <x v="8"/>
    <x v="2"/>
    <n v="23.6"/>
    <n v="70.800000000000011"/>
    <x v="7"/>
    <d v="2025-01-09T00:00:00"/>
    <x v="1"/>
    <x v="0"/>
    <x v="2"/>
    <x v="0"/>
    <x v="8"/>
    <x v="3"/>
    <x v="1"/>
    <x v="1"/>
  </r>
  <r>
    <x v="189"/>
    <x v="12"/>
    <x v="11"/>
    <n v="104"/>
    <n v="936"/>
    <x v="7"/>
    <d v="2025-01-10T00:00:00"/>
    <x v="2"/>
    <x v="2"/>
    <x v="2"/>
    <x v="0"/>
    <x v="17"/>
    <x v="1"/>
    <x v="1"/>
    <x v="2"/>
  </r>
  <r>
    <x v="190"/>
    <x v="6"/>
    <x v="1"/>
    <n v="51.8"/>
    <n v="103.6"/>
    <x v="7"/>
    <d v="2025-01-12T00:00:00"/>
    <x v="0"/>
    <x v="0"/>
    <x v="2"/>
    <x v="0"/>
    <x v="10"/>
    <x v="5"/>
    <x v="1"/>
    <x v="0"/>
  </r>
  <r>
    <x v="191"/>
    <x v="10"/>
    <x v="9"/>
    <n v="34.5"/>
    <n v="172.5"/>
    <x v="7"/>
    <d v="2025-01-10T00:00:00"/>
    <x v="0"/>
    <x v="2"/>
    <x v="2"/>
    <x v="0"/>
    <x v="11"/>
    <x v="1"/>
    <x v="1"/>
    <x v="0"/>
  </r>
  <r>
    <x v="192"/>
    <x v="6"/>
    <x v="1"/>
    <n v="51.8"/>
    <n v="103.6"/>
    <x v="7"/>
    <d v="2025-01-10T00:00:00"/>
    <x v="1"/>
    <x v="1"/>
    <x v="2"/>
    <x v="0"/>
    <x v="30"/>
    <x v="1"/>
    <x v="1"/>
    <x v="1"/>
  </r>
  <r>
    <x v="193"/>
    <x v="18"/>
    <x v="23"/>
    <n v="131.5"/>
    <n v="5654.5"/>
    <x v="7"/>
    <d v="2025-01-09T00:00:00"/>
    <x v="2"/>
    <x v="0"/>
    <x v="2"/>
    <x v="0"/>
    <x v="18"/>
    <x v="3"/>
    <x v="1"/>
    <x v="2"/>
  </r>
  <r>
    <x v="194"/>
    <x v="8"/>
    <x v="3"/>
    <n v="47.8"/>
    <n v="334.59999999999997"/>
    <x v="7"/>
    <d v="2025-01-08T00:00:00"/>
    <x v="2"/>
    <x v="0"/>
    <x v="0"/>
    <x v="0"/>
    <x v="19"/>
    <x v="7"/>
    <x v="1"/>
    <x v="2"/>
  </r>
  <r>
    <x v="195"/>
    <x v="0"/>
    <x v="1"/>
    <n v="10.199999999999999"/>
    <n v="20.399999999999999"/>
    <x v="7"/>
    <d v="2025-01-10T00:00:00"/>
    <x v="2"/>
    <x v="0"/>
    <x v="0"/>
    <x v="0"/>
    <x v="19"/>
    <x v="1"/>
    <x v="1"/>
    <x v="2"/>
  </r>
  <r>
    <x v="196"/>
    <x v="8"/>
    <x v="8"/>
    <n v="41"/>
    <n v="328"/>
    <x v="7"/>
    <d v="2025-01-08T00:00:00"/>
    <x v="2"/>
    <x v="1"/>
    <x v="2"/>
    <x v="0"/>
    <x v="19"/>
    <x v="7"/>
    <x v="1"/>
    <x v="2"/>
  </r>
  <r>
    <x v="197"/>
    <x v="10"/>
    <x v="3"/>
    <n v="50.8"/>
    <n v="355.59999999999997"/>
    <x v="7"/>
    <d v="2025-01-11T00:00:00"/>
    <x v="2"/>
    <x v="1"/>
    <x v="0"/>
    <x v="0"/>
    <x v="21"/>
    <x v="2"/>
    <x v="1"/>
    <x v="2"/>
  </r>
  <r>
    <x v="198"/>
    <x v="18"/>
    <x v="2"/>
    <n v="39.6"/>
    <n v="118.80000000000001"/>
    <x v="7"/>
    <d v="2025-01-09T00:00:00"/>
    <x v="1"/>
    <x v="2"/>
    <x v="2"/>
    <x v="0"/>
    <x v="1"/>
    <x v="3"/>
    <x v="1"/>
    <x v="1"/>
  </r>
  <r>
    <x v="199"/>
    <x v="5"/>
    <x v="1"/>
    <n v="69.5"/>
    <n v="139"/>
    <x v="7"/>
    <d v="2025-01-10T00:00:00"/>
    <x v="1"/>
    <x v="0"/>
    <x v="2"/>
    <x v="0"/>
    <x v="2"/>
    <x v="1"/>
    <x v="1"/>
    <x v="1"/>
  </r>
  <r>
    <x v="200"/>
    <x v="8"/>
    <x v="8"/>
    <n v="32.6"/>
    <n v="260.8"/>
    <x v="7"/>
    <d v="2025-01-11T00:00:00"/>
    <x v="1"/>
    <x v="1"/>
    <x v="0"/>
    <x v="0"/>
    <x v="3"/>
    <x v="2"/>
    <x v="1"/>
    <x v="1"/>
  </r>
  <r>
    <x v="201"/>
    <x v="7"/>
    <x v="1"/>
    <n v="49.1"/>
    <n v="98.2"/>
    <x v="7"/>
    <d v="2025-01-16T00:00:00"/>
    <x v="1"/>
    <x v="3"/>
    <x v="2"/>
    <x v="0"/>
    <x v="3"/>
    <x v="9"/>
    <x v="1"/>
    <x v="1"/>
  </r>
  <r>
    <x v="202"/>
    <x v="6"/>
    <x v="1"/>
    <n v="49.4"/>
    <n v="98.8"/>
    <x v="8"/>
    <d v="2025-01-10T00:00:00"/>
    <x v="2"/>
    <x v="2"/>
    <x v="0"/>
    <x v="0"/>
    <x v="3"/>
    <x v="3"/>
    <x v="1"/>
    <x v="2"/>
  </r>
  <r>
    <x v="203"/>
    <x v="7"/>
    <x v="3"/>
    <n v="65.099999999999994"/>
    <n v="455.69999999999993"/>
    <x v="8"/>
    <d v="2025-01-12T00:00:00"/>
    <x v="2"/>
    <x v="2"/>
    <x v="2"/>
    <x v="0"/>
    <x v="3"/>
    <x v="2"/>
    <x v="1"/>
    <x v="2"/>
  </r>
  <r>
    <x v="204"/>
    <x v="3"/>
    <x v="1"/>
    <n v="52.1"/>
    <n v="104.2"/>
    <x v="8"/>
    <d v="2025-01-13T00:00:00"/>
    <x v="2"/>
    <x v="2"/>
    <x v="0"/>
    <x v="0"/>
    <x v="3"/>
    <x v="5"/>
    <x v="1"/>
    <x v="2"/>
  </r>
  <r>
    <x v="205"/>
    <x v="2"/>
    <x v="12"/>
    <n v="129.19999999999999"/>
    <n v="516.79999999999995"/>
    <x v="8"/>
    <d v="2025-01-10T00:00:00"/>
    <x v="2"/>
    <x v="1"/>
    <x v="0"/>
    <x v="0"/>
    <x v="3"/>
    <x v="3"/>
    <x v="1"/>
    <x v="2"/>
  </r>
  <r>
    <x v="206"/>
    <x v="1"/>
    <x v="10"/>
    <n v="81.8"/>
    <n v="1554.2"/>
    <x v="8"/>
    <d v="2025-01-09T00:00:00"/>
    <x v="2"/>
    <x v="1"/>
    <x v="1"/>
    <x v="0"/>
    <x v="3"/>
    <x v="7"/>
    <x v="1"/>
    <x v="2"/>
  </r>
  <r>
    <x v="207"/>
    <x v="17"/>
    <x v="0"/>
    <n v="24.9"/>
    <n v="24.9"/>
    <x v="8"/>
    <d v="2025-01-13T00:00:00"/>
    <x v="2"/>
    <x v="1"/>
    <x v="0"/>
    <x v="0"/>
    <x v="3"/>
    <x v="5"/>
    <x v="1"/>
    <x v="2"/>
  </r>
  <r>
    <x v="208"/>
    <x v="0"/>
    <x v="2"/>
    <n v="49.4"/>
    <n v="148.19999999999999"/>
    <x v="8"/>
    <d v="2025-01-12T00:00:00"/>
    <x v="2"/>
    <x v="4"/>
    <x v="4"/>
    <x v="0"/>
    <x v="3"/>
    <x v="2"/>
    <x v="1"/>
    <x v="2"/>
  </r>
  <r>
    <x v="209"/>
    <x v="8"/>
    <x v="1"/>
    <n v="22.7"/>
    <n v="45.4"/>
    <x v="8"/>
    <d v="2025-01-10T00:00:00"/>
    <x v="1"/>
    <x v="3"/>
    <x v="2"/>
    <x v="0"/>
    <x v="3"/>
    <x v="3"/>
    <x v="1"/>
    <x v="1"/>
  </r>
  <r>
    <x v="210"/>
    <x v="1"/>
    <x v="0"/>
    <n v="77.3"/>
    <n v="77.3"/>
    <x v="8"/>
    <d v="2025-01-09T00:00:00"/>
    <x v="2"/>
    <x v="0"/>
    <x v="2"/>
    <x v="0"/>
    <x v="6"/>
    <x v="7"/>
    <x v="1"/>
    <x v="2"/>
  </r>
  <r>
    <x v="211"/>
    <x v="1"/>
    <x v="9"/>
    <n v="109.1"/>
    <n v="545.5"/>
    <x v="8"/>
    <d v="2025-01-12T00:00:00"/>
    <x v="2"/>
    <x v="0"/>
    <x v="0"/>
    <x v="0"/>
    <x v="6"/>
    <x v="2"/>
    <x v="1"/>
    <x v="2"/>
  </r>
  <r>
    <x v="212"/>
    <x v="2"/>
    <x v="12"/>
    <n v="53.9"/>
    <n v="215.6"/>
    <x v="8"/>
    <d v="2025-01-10T00:00:00"/>
    <x v="1"/>
    <x v="0"/>
    <x v="1"/>
    <x v="0"/>
    <x v="8"/>
    <x v="3"/>
    <x v="1"/>
    <x v="1"/>
  </r>
  <r>
    <x v="213"/>
    <x v="9"/>
    <x v="18"/>
    <n v="21.2"/>
    <n v="551.19999999999993"/>
    <x v="8"/>
    <d v="2025-01-09T00:00:00"/>
    <x v="2"/>
    <x v="0"/>
    <x v="0"/>
    <x v="0"/>
    <x v="9"/>
    <x v="7"/>
    <x v="1"/>
    <x v="2"/>
  </r>
  <r>
    <x v="214"/>
    <x v="16"/>
    <x v="12"/>
    <n v="69"/>
    <n v="276"/>
    <x v="8"/>
    <d v="2025-01-11T00:00:00"/>
    <x v="2"/>
    <x v="1"/>
    <x v="1"/>
    <x v="0"/>
    <x v="18"/>
    <x v="1"/>
    <x v="1"/>
    <x v="2"/>
  </r>
  <r>
    <x v="215"/>
    <x v="6"/>
    <x v="2"/>
    <n v="46.2"/>
    <n v="138.60000000000002"/>
    <x v="8"/>
    <d v="2025-01-11T00:00:00"/>
    <x v="2"/>
    <x v="0"/>
    <x v="2"/>
    <x v="0"/>
    <x v="31"/>
    <x v="1"/>
    <x v="1"/>
    <x v="2"/>
  </r>
  <r>
    <x v="216"/>
    <x v="1"/>
    <x v="9"/>
    <n v="97.4"/>
    <n v="487"/>
    <x v="8"/>
    <d v="2025-01-13T00:00:00"/>
    <x v="2"/>
    <x v="4"/>
    <x v="2"/>
    <x v="0"/>
    <x v="21"/>
    <x v="5"/>
    <x v="1"/>
    <x v="2"/>
  </r>
  <r>
    <x v="217"/>
    <x v="8"/>
    <x v="9"/>
    <n v="21"/>
    <n v="105"/>
    <x v="8"/>
    <d v="2025-01-10T00:00:00"/>
    <x v="1"/>
    <x v="0"/>
    <x v="1"/>
    <x v="0"/>
    <x v="21"/>
    <x v="3"/>
    <x v="1"/>
    <x v="1"/>
  </r>
  <r>
    <x v="218"/>
    <x v="5"/>
    <x v="1"/>
    <n v="32.700000000000003"/>
    <n v="65.400000000000006"/>
    <x v="9"/>
    <d v="2025-01-13T00:00:00"/>
    <x v="2"/>
    <x v="1"/>
    <x v="0"/>
    <x v="0"/>
    <x v="2"/>
    <x v="2"/>
    <x v="1"/>
    <x v="2"/>
  </r>
  <r>
    <x v="219"/>
    <x v="6"/>
    <x v="12"/>
    <n v="48"/>
    <n v="192"/>
    <x v="9"/>
    <d v="2025-01-11T00:00:00"/>
    <x v="1"/>
    <x v="3"/>
    <x v="0"/>
    <x v="0"/>
    <x v="3"/>
    <x v="3"/>
    <x v="1"/>
    <x v="1"/>
  </r>
  <r>
    <x v="220"/>
    <x v="6"/>
    <x v="2"/>
    <n v="68.2"/>
    <n v="204.60000000000002"/>
    <x v="9"/>
    <d v="2025-01-14T00:00:00"/>
    <x v="0"/>
    <x v="0"/>
    <x v="2"/>
    <x v="0"/>
    <x v="3"/>
    <x v="5"/>
    <x v="1"/>
    <x v="0"/>
  </r>
  <r>
    <x v="221"/>
    <x v="5"/>
    <x v="0"/>
    <n v="45.4"/>
    <n v="45.4"/>
    <x v="9"/>
    <d v="2025-01-12T00:00:00"/>
    <x v="1"/>
    <x v="1"/>
    <x v="0"/>
    <x v="0"/>
    <x v="3"/>
    <x v="1"/>
    <x v="1"/>
    <x v="1"/>
  </r>
  <r>
    <x v="222"/>
    <x v="12"/>
    <x v="1"/>
    <n v="53.9"/>
    <n v="107.8"/>
    <x v="9"/>
    <d v="2025-01-11T00:00:00"/>
    <x v="2"/>
    <x v="2"/>
    <x v="0"/>
    <x v="0"/>
    <x v="3"/>
    <x v="3"/>
    <x v="1"/>
    <x v="2"/>
  </r>
  <r>
    <x v="223"/>
    <x v="2"/>
    <x v="12"/>
    <n v="62.1"/>
    <n v="248.4"/>
    <x v="9"/>
    <d v="2025-01-14T00:00:00"/>
    <x v="2"/>
    <x v="0"/>
    <x v="0"/>
    <x v="0"/>
    <x v="4"/>
    <x v="5"/>
    <x v="1"/>
    <x v="2"/>
  </r>
  <r>
    <x v="224"/>
    <x v="13"/>
    <x v="3"/>
    <n v="33.1"/>
    <n v="231.70000000000002"/>
    <x v="9"/>
    <d v="2025-01-15T00:00:00"/>
    <x v="1"/>
    <x v="1"/>
    <x v="0"/>
    <x v="0"/>
    <x v="6"/>
    <x v="0"/>
    <x v="1"/>
    <x v="1"/>
  </r>
  <r>
    <x v="225"/>
    <x v="18"/>
    <x v="9"/>
    <n v="35.200000000000003"/>
    <n v="176"/>
    <x v="9"/>
    <d v="2025-01-10T00:00:00"/>
    <x v="2"/>
    <x v="1"/>
    <x v="0"/>
    <x v="0"/>
    <x v="6"/>
    <x v="7"/>
    <x v="1"/>
    <x v="2"/>
  </r>
  <r>
    <x v="226"/>
    <x v="9"/>
    <x v="2"/>
    <n v="32.1"/>
    <n v="96.300000000000011"/>
    <x v="9"/>
    <d v="2025-01-15T00:00:00"/>
    <x v="1"/>
    <x v="3"/>
    <x v="0"/>
    <x v="0"/>
    <x v="8"/>
    <x v="0"/>
    <x v="1"/>
    <x v="1"/>
  </r>
  <r>
    <x v="227"/>
    <x v="11"/>
    <x v="0"/>
    <n v="38.1"/>
    <n v="38.1"/>
    <x v="9"/>
    <d v="2025-01-15T00:00:00"/>
    <x v="2"/>
    <x v="0"/>
    <x v="2"/>
    <x v="0"/>
    <x v="8"/>
    <x v="0"/>
    <x v="1"/>
    <x v="2"/>
  </r>
  <r>
    <x v="228"/>
    <x v="8"/>
    <x v="0"/>
    <n v="65.2"/>
    <n v="65.2"/>
    <x v="9"/>
    <d v="2025-01-15T00:00:00"/>
    <x v="2"/>
    <x v="3"/>
    <x v="1"/>
    <x v="0"/>
    <x v="8"/>
    <x v="0"/>
    <x v="1"/>
    <x v="2"/>
  </r>
  <r>
    <x v="229"/>
    <x v="10"/>
    <x v="3"/>
    <n v="55.2"/>
    <n v="386.40000000000003"/>
    <x v="9"/>
    <d v="2025-01-11T00:00:00"/>
    <x v="1"/>
    <x v="2"/>
    <x v="0"/>
    <x v="0"/>
    <x v="11"/>
    <x v="3"/>
    <x v="1"/>
    <x v="1"/>
  </r>
  <r>
    <x v="230"/>
    <x v="6"/>
    <x v="0"/>
    <n v="62"/>
    <n v="62"/>
    <x v="9"/>
    <d v="2025-01-14T00:00:00"/>
    <x v="2"/>
    <x v="0"/>
    <x v="0"/>
    <x v="0"/>
    <x v="11"/>
    <x v="5"/>
    <x v="1"/>
    <x v="2"/>
  </r>
  <r>
    <x v="231"/>
    <x v="7"/>
    <x v="2"/>
    <n v="45.9"/>
    <n v="137.69999999999999"/>
    <x v="9"/>
    <d v="2025-01-11T00:00:00"/>
    <x v="2"/>
    <x v="2"/>
    <x v="0"/>
    <x v="0"/>
    <x v="32"/>
    <x v="3"/>
    <x v="1"/>
    <x v="2"/>
  </r>
  <r>
    <x v="232"/>
    <x v="18"/>
    <x v="2"/>
    <n v="58.3"/>
    <n v="174.89999999999998"/>
    <x v="9"/>
    <d v="2025-01-10T00:00:00"/>
    <x v="1"/>
    <x v="1"/>
    <x v="1"/>
    <x v="0"/>
    <x v="18"/>
    <x v="7"/>
    <x v="1"/>
    <x v="1"/>
  </r>
  <r>
    <x v="233"/>
    <x v="8"/>
    <x v="1"/>
    <n v="22.3"/>
    <n v="44.6"/>
    <x v="9"/>
    <d v="2025-01-13T00:00:00"/>
    <x v="2"/>
    <x v="0"/>
    <x v="2"/>
    <x v="0"/>
    <x v="20"/>
    <x v="2"/>
    <x v="1"/>
    <x v="2"/>
  </r>
  <r>
    <x v="234"/>
    <x v="19"/>
    <x v="9"/>
    <n v="24"/>
    <n v="120"/>
    <x v="9"/>
    <d v="2025-01-11T00:00:00"/>
    <x v="1"/>
    <x v="4"/>
    <x v="0"/>
    <x v="0"/>
    <x v="1"/>
    <x v="3"/>
    <x v="1"/>
    <x v="1"/>
  </r>
  <r>
    <x v="235"/>
    <x v="0"/>
    <x v="7"/>
    <n v="21.3"/>
    <n v="213"/>
    <x v="9"/>
    <d v="2025-01-10T00:00:00"/>
    <x v="2"/>
    <x v="1"/>
    <x v="2"/>
    <x v="0"/>
    <x v="22"/>
    <x v="7"/>
    <x v="1"/>
    <x v="2"/>
  </r>
  <r>
    <x v="236"/>
    <x v="6"/>
    <x v="24"/>
    <n v="57.8"/>
    <n v="2369.7999999999997"/>
    <x v="9"/>
    <d v="2025-01-12T00:00:00"/>
    <x v="2"/>
    <x v="0"/>
    <x v="2"/>
    <x v="0"/>
    <x v="3"/>
    <x v="1"/>
    <x v="1"/>
    <x v="2"/>
  </r>
  <r>
    <x v="237"/>
    <x v="10"/>
    <x v="2"/>
    <n v="67.599999999999994"/>
    <n v="202.79999999999998"/>
    <x v="9"/>
    <d v="2025-01-11T00:00:00"/>
    <x v="2"/>
    <x v="0"/>
    <x v="0"/>
    <x v="0"/>
    <x v="3"/>
    <x v="3"/>
    <x v="1"/>
    <x v="2"/>
  </r>
  <r>
    <x v="238"/>
    <x v="6"/>
    <x v="13"/>
    <n v="66.7"/>
    <n v="400.20000000000005"/>
    <x v="9"/>
    <d v="2025-01-14T00:00:00"/>
    <x v="1"/>
    <x v="4"/>
    <x v="1"/>
    <x v="0"/>
    <x v="3"/>
    <x v="5"/>
    <x v="1"/>
    <x v="1"/>
  </r>
  <r>
    <x v="239"/>
    <x v="1"/>
    <x v="12"/>
    <n v="53.1"/>
    <n v="212.4"/>
    <x v="9"/>
    <d v="2025-01-12T00:00:00"/>
    <x v="2"/>
    <x v="1"/>
    <x v="0"/>
    <x v="0"/>
    <x v="3"/>
    <x v="1"/>
    <x v="1"/>
    <x v="2"/>
  </r>
  <r>
    <x v="240"/>
    <x v="12"/>
    <x v="2"/>
    <n v="57.4"/>
    <n v="172.2"/>
    <x v="9"/>
    <d v="2025-01-13T00:00:00"/>
    <x v="2"/>
    <x v="0"/>
    <x v="2"/>
    <x v="0"/>
    <x v="29"/>
    <x v="2"/>
    <x v="1"/>
    <x v="2"/>
  </r>
  <r>
    <x v="241"/>
    <x v="2"/>
    <x v="9"/>
    <n v="58.1"/>
    <n v="290.5"/>
    <x v="9"/>
    <d v="2025-01-10T00:00:00"/>
    <x v="1"/>
    <x v="2"/>
    <x v="2"/>
    <x v="0"/>
    <x v="6"/>
    <x v="7"/>
    <x v="1"/>
    <x v="1"/>
  </r>
  <r>
    <x v="242"/>
    <x v="5"/>
    <x v="2"/>
    <n v="31.8"/>
    <n v="95.4"/>
    <x v="10"/>
    <d v="2025-01-13T00:00:00"/>
    <x v="1"/>
    <x v="3"/>
    <x v="0"/>
    <x v="0"/>
    <x v="6"/>
    <x v="1"/>
    <x v="1"/>
    <x v="1"/>
  </r>
  <r>
    <x v="243"/>
    <x v="4"/>
    <x v="2"/>
    <n v="31.5"/>
    <n v="94.5"/>
    <x v="10"/>
    <d v="2025-01-14T00:00:00"/>
    <x v="1"/>
    <x v="0"/>
    <x v="1"/>
    <x v="0"/>
    <x v="8"/>
    <x v="2"/>
    <x v="1"/>
    <x v="1"/>
  </r>
  <r>
    <x v="244"/>
    <x v="6"/>
    <x v="3"/>
    <n v="55.9"/>
    <n v="391.3"/>
    <x v="10"/>
    <d v="2025-01-15T00:00:00"/>
    <x v="2"/>
    <x v="1"/>
    <x v="2"/>
    <x v="0"/>
    <x v="8"/>
    <x v="5"/>
    <x v="1"/>
    <x v="2"/>
  </r>
  <r>
    <x v="245"/>
    <x v="8"/>
    <x v="1"/>
    <n v="36.4"/>
    <n v="72.8"/>
    <x v="10"/>
    <d v="2025-01-12T00:00:00"/>
    <x v="1"/>
    <x v="1"/>
    <x v="1"/>
    <x v="0"/>
    <x v="9"/>
    <x v="3"/>
    <x v="1"/>
    <x v="1"/>
  </r>
  <r>
    <x v="246"/>
    <x v="1"/>
    <x v="9"/>
    <n v="47.3"/>
    <n v="236.5"/>
    <x v="10"/>
    <d v="2025-01-14T00:00:00"/>
    <x v="1"/>
    <x v="2"/>
    <x v="0"/>
    <x v="0"/>
    <x v="10"/>
    <x v="2"/>
    <x v="1"/>
    <x v="1"/>
  </r>
  <r>
    <x v="247"/>
    <x v="6"/>
    <x v="2"/>
    <n v="82.5"/>
    <n v="247.5"/>
    <x v="10"/>
    <d v="2025-01-12T00:00:00"/>
    <x v="1"/>
    <x v="0"/>
    <x v="0"/>
    <x v="0"/>
    <x v="11"/>
    <x v="3"/>
    <x v="1"/>
    <x v="1"/>
  </r>
  <r>
    <x v="248"/>
    <x v="0"/>
    <x v="0"/>
    <n v="14.3"/>
    <n v="14.3"/>
    <x v="10"/>
    <d v="2025-01-12T00:00:00"/>
    <x v="2"/>
    <x v="0"/>
    <x v="0"/>
    <x v="0"/>
    <x v="21"/>
    <x v="3"/>
    <x v="1"/>
    <x v="2"/>
  </r>
  <r>
    <x v="249"/>
    <x v="2"/>
    <x v="13"/>
    <n v="57.6"/>
    <n v="345.6"/>
    <x v="10"/>
    <d v="2025-01-25T00:00:00"/>
    <x v="2"/>
    <x v="0"/>
    <x v="0"/>
    <x v="0"/>
    <x v="21"/>
    <x v="12"/>
    <x v="1"/>
    <x v="2"/>
  </r>
  <r>
    <x v="250"/>
    <x v="2"/>
    <x v="2"/>
    <n v="142.4"/>
    <n v="427.20000000000005"/>
    <x v="10"/>
    <d v="2025-01-13T00:00:00"/>
    <x v="1"/>
    <x v="4"/>
    <x v="1"/>
    <x v="0"/>
    <x v="21"/>
    <x v="1"/>
    <x v="1"/>
    <x v="1"/>
  </r>
  <r>
    <x v="251"/>
    <x v="12"/>
    <x v="0"/>
    <n v="30.2"/>
    <n v="30.2"/>
    <x v="10"/>
    <d v="2025-01-15T00:00:00"/>
    <x v="1"/>
    <x v="1"/>
    <x v="2"/>
    <x v="0"/>
    <x v="2"/>
    <x v="5"/>
    <x v="1"/>
    <x v="1"/>
  </r>
  <r>
    <x v="252"/>
    <x v="18"/>
    <x v="2"/>
    <n v="65.3"/>
    <n v="195.89999999999998"/>
    <x v="10"/>
    <d v="2025-01-12T00:00:00"/>
    <x v="3"/>
    <x v="1"/>
    <x v="0"/>
    <x v="0"/>
    <x v="33"/>
    <x v="3"/>
    <x v="1"/>
    <x v="3"/>
  </r>
  <r>
    <x v="253"/>
    <x v="0"/>
    <x v="1"/>
    <n v="33.4"/>
    <n v="66.8"/>
    <x v="10"/>
    <d v="2025-01-12T00:00:00"/>
    <x v="1"/>
    <x v="1"/>
    <x v="1"/>
    <x v="0"/>
    <x v="22"/>
    <x v="3"/>
    <x v="1"/>
    <x v="1"/>
  </r>
  <r>
    <x v="254"/>
    <x v="7"/>
    <x v="1"/>
    <n v="45.1"/>
    <n v="90.2"/>
    <x v="10"/>
    <d v="2025-01-19T00:00:00"/>
    <x v="1"/>
    <x v="0"/>
    <x v="0"/>
    <x v="0"/>
    <x v="34"/>
    <x v="9"/>
    <x v="1"/>
    <x v="1"/>
  </r>
  <r>
    <x v="255"/>
    <x v="2"/>
    <x v="3"/>
    <n v="61.7"/>
    <n v="431.90000000000003"/>
    <x v="10"/>
    <d v="2025-01-13T00:00:00"/>
    <x v="2"/>
    <x v="4"/>
    <x v="0"/>
    <x v="0"/>
    <x v="3"/>
    <x v="1"/>
    <x v="1"/>
    <x v="2"/>
  </r>
  <r>
    <x v="256"/>
    <x v="9"/>
    <x v="2"/>
    <n v="45.1"/>
    <n v="135.30000000000001"/>
    <x v="11"/>
    <d v="2025-01-13T00:00:00"/>
    <x v="1"/>
    <x v="4"/>
    <x v="1"/>
    <x v="0"/>
    <x v="3"/>
    <x v="3"/>
    <x v="2"/>
    <x v="1"/>
  </r>
  <r>
    <x v="257"/>
    <x v="15"/>
    <x v="9"/>
    <n v="22.7"/>
    <n v="113.5"/>
    <x v="11"/>
    <d v="2025-01-17T00:00:00"/>
    <x v="1"/>
    <x v="0"/>
    <x v="2"/>
    <x v="0"/>
    <x v="35"/>
    <x v="0"/>
    <x v="2"/>
    <x v="1"/>
  </r>
  <r>
    <x v="258"/>
    <x v="8"/>
    <x v="0"/>
    <n v="17.600000000000001"/>
    <n v="17.600000000000001"/>
    <x v="11"/>
    <d v="2025-01-13T00:00:00"/>
    <x v="2"/>
    <x v="0"/>
    <x v="2"/>
    <x v="0"/>
    <x v="23"/>
    <x v="3"/>
    <x v="2"/>
    <x v="2"/>
  </r>
  <r>
    <x v="259"/>
    <x v="14"/>
    <x v="1"/>
    <n v="11.3"/>
    <n v="22.6"/>
    <x v="11"/>
    <d v="2025-01-15T00:00:00"/>
    <x v="2"/>
    <x v="3"/>
    <x v="2"/>
    <x v="0"/>
    <x v="23"/>
    <x v="2"/>
    <x v="2"/>
    <x v="2"/>
  </r>
  <r>
    <x v="260"/>
    <x v="6"/>
    <x v="2"/>
    <n v="53.4"/>
    <n v="160.19999999999999"/>
    <x v="11"/>
    <d v="2025-01-15T00:00:00"/>
    <x v="1"/>
    <x v="3"/>
    <x v="2"/>
    <x v="0"/>
    <x v="36"/>
    <x v="2"/>
    <x v="2"/>
    <x v="1"/>
  </r>
  <r>
    <x v="261"/>
    <x v="6"/>
    <x v="5"/>
    <n v="51.1"/>
    <n v="562.1"/>
    <x v="11"/>
    <d v="2025-01-14T00:00:00"/>
    <x v="2"/>
    <x v="2"/>
    <x v="2"/>
    <x v="0"/>
    <x v="8"/>
    <x v="1"/>
    <x v="2"/>
    <x v="2"/>
  </r>
  <r>
    <x v="262"/>
    <x v="8"/>
    <x v="1"/>
    <n v="27.5"/>
    <n v="55"/>
    <x v="11"/>
    <d v="2025-01-13T00:00:00"/>
    <x v="1"/>
    <x v="4"/>
    <x v="1"/>
    <x v="0"/>
    <x v="8"/>
    <x v="3"/>
    <x v="2"/>
    <x v="1"/>
  </r>
  <r>
    <x v="263"/>
    <x v="9"/>
    <x v="0"/>
    <n v="33.5"/>
    <n v="33.5"/>
    <x v="11"/>
    <d v="2025-01-14T00:00:00"/>
    <x v="2"/>
    <x v="0"/>
    <x v="4"/>
    <x v="0"/>
    <x v="8"/>
    <x v="1"/>
    <x v="2"/>
    <x v="2"/>
  </r>
  <r>
    <x v="264"/>
    <x v="4"/>
    <x v="0"/>
    <n v="59.5"/>
    <n v="59.5"/>
    <x v="11"/>
    <d v="2025-01-12T00:00:00"/>
    <x v="1"/>
    <x v="0"/>
    <x v="2"/>
    <x v="0"/>
    <x v="18"/>
    <x v="7"/>
    <x v="2"/>
    <x v="1"/>
  </r>
  <r>
    <x v="265"/>
    <x v="17"/>
    <x v="12"/>
    <n v="23.5"/>
    <n v="94"/>
    <x v="11"/>
    <d v="2025-01-13T00:00:00"/>
    <x v="2"/>
    <x v="3"/>
    <x v="3"/>
    <x v="0"/>
    <x v="19"/>
    <x v="3"/>
    <x v="2"/>
    <x v="2"/>
  </r>
  <r>
    <x v="266"/>
    <x v="6"/>
    <x v="0"/>
    <n v="49.7"/>
    <n v="49.7"/>
    <x v="11"/>
    <d v="2025-01-13T00:00:00"/>
    <x v="0"/>
    <x v="1"/>
    <x v="2"/>
    <x v="0"/>
    <x v="20"/>
    <x v="3"/>
    <x v="2"/>
    <x v="0"/>
  </r>
  <r>
    <x v="267"/>
    <x v="6"/>
    <x v="12"/>
    <n v="44.2"/>
    <n v="176.8"/>
    <x v="11"/>
    <d v="2025-01-15T00:00:00"/>
    <x v="2"/>
    <x v="0"/>
    <x v="2"/>
    <x v="0"/>
    <x v="21"/>
    <x v="2"/>
    <x v="2"/>
    <x v="2"/>
  </r>
  <r>
    <x v="268"/>
    <x v="8"/>
    <x v="0"/>
    <n v="22.1"/>
    <n v="22.1"/>
    <x v="11"/>
    <d v="2025-01-16T00:00:00"/>
    <x v="2"/>
    <x v="1"/>
    <x v="1"/>
    <x v="0"/>
    <x v="33"/>
    <x v="5"/>
    <x v="2"/>
    <x v="2"/>
  </r>
  <r>
    <x v="269"/>
    <x v="6"/>
    <x v="2"/>
    <n v="90.9"/>
    <n v="272.70000000000005"/>
    <x v="11"/>
    <d v="2025-01-13T00:00:00"/>
    <x v="2"/>
    <x v="2"/>
    <x v="4"/>
    <x v="0"/>
    <x v="3"/>
    <x v="3"/>
    <x v="2"/>
    <x v="2"/>
  </r>
  <r>
    <x v="270"/>
    <x v="8"/>
    <x v="2"/>
    <n v="44.5"/>
    <n v="133.5"/>
    <x v="11"/>
    <d v="2025-01-13T00:00:00"/>
    <x v="2"/>
    <x v="1"/>
    <x v="0"/>
    <x v="0"/>
    <x v="3"/>
    <x v="3"/>
    <x v="2"/>
    <x v="2"/>
  </r>
  <r>
    <x v="271"/>
    <x v="9"/>
    <x v="13"/>
    <n v="32.299999999999997"/>
    <n v="193.79999999999998"/>
    <x v="11"/>
    <d v="2025-01-16T00:00:00"/>
    <x v="2"/>
    <x v="0"/>
    <x v="0"/>
    <x v="0"/>
    <x v="3"/>
    <x v="5"/>
    <x v="2"/>
    <x v="2"/>
  </r>
  <r>
    <x v="272"/>
    <x v="17"/>
    <x v="2"/>
    <n v="87.5"/>
    <n v="262.5"/>
    <x v="11"/>
    <d v="2025-01-13T00:00:00"/>
    <x v="2"/>
    <x v="1"/>
    <x v="1"/>
    <x v="0"/>
    <x v="3"/>
    <x v="3"/>
    <x v="2"/>
    <x v="2"/>
  </r>
  <r>
    <x v="273"/>
    <x v="16"/>
    <x v="9"/>
    <n v="48.7"/>
    <n v="243.5"/>
    <x v="11"/>
    <d v="2025-01-13T00:00:00"/>
    <x v="1"/>
    <x v="2"/>
    <x v="0"/>
    <x v="0"/>
    <x v="3"/>
    <x v="3"/>
    <x v="2"/>
    <x v="1"/>
  </r>
  <r>
    <x v="274"/>
    <x v="0"/>
    <x v="9"/>
    <n v="22.5"/>
    <n v="112.5"/>
    <x v="11"/>
    <d v="2025-01-13T00:00:00"/>
    <x v="1"/>
    <x v="0"/>
    <x v="0"/>
    <x v="0"/>
    <x v="3"/>
    <x v="3"/>
    <x v="2"/>
    <x v="1"/>
  </r>
  <r>
    <x v="275"/>
    <x v="1"/>
    <x v="8"/>
    <n v="65.900000000000006"/>
    <n v="527.20000000000005"/>
    <x v="11"/>
    <d v="2025-01-15T00:00:00"/>
    <x v="2"/>
    <x v="1"/>
    <x v="2"/>
    <x v="0"/>
    <x v="3"/>
    <x v="2"/>
    <x v="2"/>
    <x v="2"/>
  </r>
  <r>
    <x v="276"/>
    <x v="6"/>
    <x v="9"/>
    <n v="41.9"/>
    <n v="209.5"/>
    <x v="11"/>
    <d v="2025-01-19T00:00:00"/>
    <x v="0"/>
    <x v="0"/>
    <x v="0"/>
    <x v="0"/>
    <x v="3"/>
    <x v="6"/>
    <x v="2"/>
    <x v="0"/>
  </r>
  <r>
    <x v="277"/>
    <x v="1"/>
    <x v="9"/>
    <n v="67.5"/>
    <n v="337.5"/>
    <x v="11"/>
    <d v="2025-01-13T00:00:00"/>
    <x v="2"/>
    <x v="0"/>
    <x v="2"/>
    <x v="0"/>
    <x v="3"/>
    <x v="3"/>
    <x v="2"/>
    <x v="2"/>
  </r>
  <r>
    <x v="278"/>
    <x v="9"/>
    <x v="0"/>
    <n v="60.4"/>
    <n v="60.4"/>
    <x v="12"/>
    <d v="2025-01-15T00:00:00"/>
    <x v="2"/>
    <x v="1"/>
    <x v="1"/>
    <x v="0"/>
    <x v="3"/>
    <x v="1"/>
    <x v="2"/>
    <x v="2"/>
  </r>
  <r>
    <x v="279"/>
    <x v="1"/>
    <x v="3"/>
    <n v="30.4"/>
    <n v="212.79999999999998"/>
    <x v="12"/>
    <d v="2025-01-16T00:00:00"/>
    <x v="2"/>
    <x v="4"/>
    <x v="0"/>
    <x v="0"/>
    <x v="3"/>
    <x v="2"/>
    <x v="2"/>
    <x v="2"/>
  </r>
  <r>
    <x v="280"/>
    <x v="14"/>
    <x v="1"/>
    <n v="24.5"/>
    <n v="49"/>
    <x v="12"/>
    <d v="2025-01-14T00:00:00"/>
    <x v="1"/>
    <x v="3"/>
    <x v="2"/>
    <x v="0"/>
    <x v="3"/>
    <x v="3"/>
    <x v="2"/>
    <x v="1"/>
  </r>
  <r>
    <x v="281"/>
    <x v="2"/>
    <x v="2"/>
    <n v="105.9"/>
    <n v="317.70000000000005"/>
    <x v="12"/>
    <d v="2025-01-18T00:00:00"/>
    <x v="1"/>
    <x v="0"/>
    <x v="0"/>
    <x v="0"/>
    <x v="37"/>
    <x v="0"/>
    <x v="2"/>
    <x v="1"/>
  </r>
  <r>
    <x v="282"/>
    <x v="10"/>
    <x v="25"/>
    <n v="25.9"/>
    <n v="621.59999999999991"/>
    <x v="12"/>
    <d v="2025-01-14T00:00:00"/>
    <x v="2"/>
    <x v="4"/>
    <x v="0"/>
    <x v="0"/>
    <x v="23"/>
    <x v="3"/>
    <x v="2"/>
    <x v="2"/>
  </r>
  <r>
    <x v="283"/>
    <x v="6"/>
    <x v="2"/>
    <n v="66.8"/>
    <n v="200.39999999999998"/>
    <x v="12"/>
    <d v="2025-01-13T00:00:00"/>
    <x v="1"/>
    <x v="0"/>
    <x v="0"/>
    <x v="0"/>
    <x v="23"/>
    <x v="7"/>
    <x v="2"/>
    <x v="1"/>
  </r>
  <r>
    <x v="284"/>
    <x v="6"/>
    <x v="2"/>
    <n v="112.3"/>
    <n v="336.9"/>
    <x v="12"/>
    <d v="2025-01-14T00:00:00"/>
    <x v="1"/>
    <x v="2"/>
    <x v="4"/>
    <x v="0"/>
    <x v="6"/>
    <x v="3"/>
    <x v="2"/>
    <x v="1"/>
  </r>
  <r>
    <x v="285"/>
    <x v="1"/>
    <x v="13"/>
    <n v="94.1"/>
    <n v="564.59999999999991"/>
    <x v="12"/>
    <d v="2025-01-14T00:00:00"/>
    <x v="2"/>
    <x v="0"/>
    <x v="4"/>
    <x v="0"/>
    <x v="6"/>
    <x v="3"/>
    <x v="2"/>
    <x v="2"/>
  </r>
  <r>
    <x v="286"/>
    <x v="5"/>
    <x v="0"/>
    <n v="40.700000000000003"/>
    <n v="40.700000000000003"/>
    <x v="12"/>
    <d v="2025-01-16T00:00:00"/>
    <x v="2"/>
    <x v="2"/>
    <x v="0"/>
    <x v="0"/>
    <x v="6"/>
    <x v="2"/>
    <x v="2"/>
    <x v="2"/>
  </r>
  <r>
    <x v="287"/>
    <x v="3"/>
    <x v="1"/>
    <n v="71.400000000000006"/>
    <n v="142.80000000000001"/>
    <x v="12"/>
    <d v="2025-01-14T00:00:00"/>
    <x v="1"/>
    <x v="0"/>
    <x v="0"/>
    <x v="0"/>
    <x v="7"/>
    <x v="3"/>
    <x v="2"/>
    <x v="1"/>
  </r>
  <r>
    <x v="288"/>
    <x v="0"/>
    <x v="16"/>
    <n v="15.6"/>
    <n v="280.8"/>
    <x v="12"/>
    <d v="2025-01-14T00:00:00"/>
    <x v="1"/>
    <x v="1"/>
    <x v="3"/>
    <x v="0"/>
    <x v="8"/>
    <x v="3"/>
    <x v="2"/>
    <x v="1"/>
  </r>
  <r>
    <x v="289"/>
    <x v="10"/>
    <x v="12"/>
    <n v="37.799999999999997"/>
    <n v="151.19999999999999"/>
    <x v="12"/>
    <d v="2025-01-14T00:00:00"/>
    <x v="1"/>
    <x v="2"/>
    <x v="2"/>
    <x v="0"/>
    <x v="8"/>
    <x v="3"/>
    <x v="2"/>
    <x v="1"/>
  </r>
  <r>
    <x v="290"/>
    <x v="4"/>
    <x v="2"/>
    <n v="28.1"/>
    <n v="84.300000000000011"/>
    <x v="12"/>
    <d v="2025-01-17T00:00:00"/>
    <x v="1"/>
    <x v="0"/>
    <x v="0"/>
    <x v="0"/>
    <x v="8"/>
    <x v="5"/>
    <x v="2"/>
    <x v="1"/>
  </r>
  <r>
    <x v="291"/>
    <x v="7"/>
    <x v="13"/>
    <n v="51.4"/>
    <n v="308.39999999999998"/>
    <x v="12"/>
    <d v="2025-01-17T00:00:00"/>
    <x v="1"/>
    <x v="0"/>
    <x v="0"/>
    <x v="0"/>
    <x v="8"/>
    <x v="5"/>
    <x v="2"/>
    <x v="1"/>
  </r>
  <r>
    <x v="292"/>
    <x v="7"/>
    <x v="1"/>
    <n v="97.7"/>
    <n v="195.4"/>
    <x v="12"/>
    <d v="2025-01-15T00:00:00"/>
    <x v="2"/>
    <x v="4"/>
    <x v="2"/>
    <x v="0"/>
    <x v="17"/>
    <x v="1"/>
    <x v="2"/>
    <x v="2"/>
  </r>
  <r>
    <x v="293"/>
    <x v="1"/>
    <x v="12"/>
    <n v="63.8"/>
    <n v="255.2"/>
    <x v="12"/>
    <d v="2025-01-14T00:00:00"/>
    <x v="1"/>
    <x v="2"/>
    <x v="0"/>
    <x v="0"/>
    <x v="38"/>
    <x v="3"/>
    <x v="2"/>
    <x v="1"/>
  </r>
  <r>
    <x v="294"/>
    <x v="13"/>
    <x v="1"/>
    <n v="20.100000000000001"/>
    <n v="40.200000000000003"/>
    <x v="12"/>
    <d v="2025-01-15T00:00:00"/>
    <x v="1"/>
    <x v="0"/>
    <x v="2"/>
    <x v="0"/>
    <x v="20"/>
    <x v="1"/>
    <x v="2"/>
    <x v="1"/>
  </r>
  <r>
    <x v="295"/>
    <x v="11"/>
    <x v="2"/>
    <n v="50.4"/>
    <n v="151.19999999999999"/>
    <x v="12"/>
    <d v="2025-01-16T00:00:00"/>
    <x v="2"/>
    <x v="3"/>
    <x v="0"/>
    <x v="0"/>
    <x v="13"/>
    <x v="2"/>
    <x v="2"/>
    <x v="2"/>
  </r>
  <r>
    <x v="296"/>
    <x v="0"/>
    <x v="0"/>
    <n v="16.2"/>
    <n v="16.2"/>
    <x v="12"/>
    <d v="2025-01-26T00:00:00"/>
    <x v="2"/>
    <x v="1"/>
    <x v="0"/>
    <x v="0"/>
    <x v="1"/>
    <x v="10"/>
    <x v="2"/>
    <x v="2"/>
  </r>
  <r>
    <x v="297"/>
    <x v="6"/>
    <x v="3"/>
    <n v="80.900000000000006"/>
    <n v="566.30000000000007"/>
    <x v="12"/>
    <d v="2025-01-15T00:00:00"/>
    <x v="1"/>
    <x v="4"/>
    <x v="4"/>
    <x v="0"/>
    <x v="2"/>
    <x v="1"/>
    <x v="2"/>
    <x v="1"/>
  </r>
  <r>
    <x v="298"/>
    <x v="9"/>
    <x v="13"/>
    <n v="95.2"/>
    <n v="571.20000000000005"/>
    <x v="12"/>
    <d v="2025-01-15T00:00:00"/>
    <x v="2"/>
    <x v="0"/>
    <x v="2"/>
    <x v="0"/>
    <x v="2"/>
    <x v="1"/>
    <x v="2"/>
    <x v="2"/>
  </r>
  <r>
    <x v="299"/>
    <x v="5"/>
    <x v="8"/>
    <n v="70.400000000000006"/>
    <n v="563.20000000000005"/>
    <x v="12"/>
    <d v="2025-01-14T00:00:00"/>
    <x v="1"/>
    <x v="1"/>
    <x v="1"/>
    <x v="0"/>
    <x v="3"/>
    <x v="3"/>
    <x v="2"/>
    <x v="1"/>
  </r>
  <r>
    <x v="300"/>
    <x v="0"/>
    <x v="9"/>
    <n v="10.7"/>
    <n v="53.5"/>
    <x v="12"/>
    <d v="2025-01-17T00:00:00"/>
    <x v="2"/>
    <x v="2"/>
    <x v="0"/>
    <x v="0"/>
    <x v="3"/>
    <x v="5"/>
    <x v="2"/>
    <x v="2"/>
  </r>
  <r>
    <x v="301"/>
    <x v="8"/>
    <x v="9"/>
    <n v="19.600000000000001"/>
    <n v="98"/>
    <x v="12"/>
    <d v="2025-01-15T00:00:00"/>
    <x v="2"/>
    <x v="0"/>
    <x v="3"/>
    <x v="0"/>
    <x v="3"/>
    <x v="1"/>
    <x v="2"/>
    <x v="2"/>
  </r>
  <r>
    <x v="302"/>
    <x v="8"/>
    <x v="5"/>
    <n v="34.700000000000003"/>
    <n v="381.70000000000005"/>
    <x v="12"/>
    <d v="2025-01-15T00:00:00"/>
    <x v="2"/>
    <x v="0"/>
    <x v="2"/>
    <x v="0"/>
    <x v="3"/>
    <x v="1"/>
    <x v="2"/>
    <x v="2"/>
  </r>
  <r>
    <x v="303"/>
    <x v="10"/>
    <x v="11"/>
    <n v="34.1"/>
    <n v="306.90000000000003"/>
    <x v="12"/>
    <d v="2025-01-14T00:00:00"/>
    <x v="2"/>
    <x v="4"/>
    <x v="1"/>
    <x v="0"/>
    <x v="3"/>
    <x v="3"/>
    <x v="2"/>
    <x v="2"/>
  </r>
  <r>
    <x v="304"/>
    <x v="0"/>
    <x v="26"/>
    <n v="29.3"/>
    <n v="1435.7"/>
    <x v="12"/>
    <d v="2025-01-13T00:00:00"/>
    <x v="1"/>
    <x v="0"/>
    <x v="1"/>
    <x v="0"/>
    <x v="3"/>
    <x v="7"/>
    <x v="2"/>
    <x v="1"/>
  </r>
  <r>
    <x v="305"/>
    <x v="1"/>
    <x v="0"/>
    <n v="55.2"/>
    <n v="55.2"/>
    <x v="12"/>
    <d v="2025-01-14T00:00:00"/>
    <x v="2"/>
    <x v="0"/>
    <x v="1"/>
    <x v="0"/>
    <x v="3"/>
    <x v="3"/>
    <x v="2"/>
    <x v="2"/>
  </r>
  <r>
    <x v="306"/>
    <x v="18"/>
    <x v="2"/>
    <n v="26"/>
    <n v="78"/>
    <x v="12"/>
    <d v="2025-01-16T00:00:00"/>
    <x v="2"/>
    <x v="0"/>
    <x v="2"/>
    <x v="0"/>
    <x v="3"/>
    <x v="2"/>
    <x v="2"/>
    <x v="2"/>
  </r>
  <r>
    <x v="307"/>
    <x v="14"/>
    <x v="1"/>
    <n v="14.2"/>
    <n v="28.4"/>
    <x v="12"/>
    <d v="2025-01-18T00:00:00"/>
    <x v="2"/>
    <x v="3"/>
    <x v="0"/>
    <x v="0"/>
    <x v="39"/>
    <x v="0"/>
    <x v="2"/>
    <x v="2"/>
  </r>
  <r>
    <x v="308"/>
    <x v="8"/>
    <x v="11"/>
    <n v="22.7"/>
    <n v="204.29999999999998"/>
    <x v="13"/>
    <d v="2025-01-15T00:00:00"/>
    <x v="1"/>
    <x v="1"/>
    <x v="0"/>
    <x v="0"/>
    <x v="6"/>
    <x v="3"/>
    <x v="2"/>
    <x v="1"/>
  </r>
  <r>
    <x v="309"/>
    <x v="0"/>
    <x v="20"/>
    <n v="19.8"/>
    <n v="297"/>
    <x v="13"/>
    <d v="2025-01-14T00:00:00"/>
    <x v="2"/>
    <x v="0"/>
    <x v="2"/>
    <x v="0"/>
    <x v="6"/>
    <x v="7"/>
    <x v="2"/>
    <x v="2"/>
  </r>
  <r>
    <x v="310"/>
    <x v="0"/>
    <x v="2"/>
    <n v="31.7"/>
    <n v="95.1"/>
    <x v="13"/>
    <d v="2025-01-15T00:00:00"/>
    <x v="1"/>
    <x v="2"/>
    <x v="0"/>
    <x v="0"/>
    <x v="6"/>
    <x v="3"/>
    <x v="2"/>
    <x v="1"/>
  </r>
  <r>
    <x v="311"/>
    <x v="8"/>
    <x v="12"/>
    <n v="30.4"/>
    <n v="121.6"/>
    <x v="13"/>
    <d v="2025-01-18T00:00:00"/>
    <x v="1"/>
    <x v="0"/>
    <x v="0"/>
    <x v="0"/>
    <x v="6"/>
    <x v="5"/>
    <x v="2"/>
    <x v="1"/>
  </r>
  <r>
    <x v="312"/>
    <x v="0"/>
    <x v="12"/>
    <n v="25.6"/>
    <n v="102.4"/>
    <x v="13"/>
    <d v="2025-01-15T00:00:00"/>
    <x v="1"/>
    <x v="3"/>
    <x v="0"/>
    <x v="0"/>
    <x v="8"/>
    <x v="3"/>
    <x v="2"/>
    <x v="1"/>
  </r>
  <r>
    <x v="313"/>
    <x v="5"/>
    <x v="1"/>
    <n v="34.9"/>
    <n v="69.8"/>
    <x v="13"/>
    <d v="2025-01-15T00:00:00"/>
    <x v="2"/>
    <x v="2"/>
    <x v="0"/>
    <x v="0"/>
    <x v="9"/>
    <x v="3"/>
    <x v="2"/>
    <x v="2"/>
  </r>
  <r>
    <x v="314"/>
    <x v="7"/>
    <x v="13"/>
    <n v="42.7"/>
    <n v="256.20000000000005"/>
    <x v="13"/>
    <d v="2025-01-17T00:00:00"/>
    <x v="1"/>
    <x v="2"/>
    <x v="1"/>
    <x v="0"/>
    <x v="11"/>
    <x v="2"/>
    <x v="2"/>
    <x v="1"/>
  </r>
  <r>
    <x v="315"/>
    <x v="8"/>
    <x v="0"/>
    <n v="23.9"/>
    <n v="23.9"/>
    <x v="13"/>
    <d v="2025-01-16T00:00:00"/>
    <x v="2"/>
    <x v="3"/>
    <x v="0"/>
    <x v="0"/>
    <x v="11"/>
    <x v="1"/>
    <x v="2"/>
    <x v="2"/>
  </r>
  <r>
    <x v="316"/>
    <x v="6"/>
    <x v="0"/>
    <n v="124.3"/>
    <n v="124.3"/>
    <x v="13"/>
    <d v="2025-01-15T00:00:00"/>
    <x v="0"/>
    <x v="2"/>
    <x v="1"/>
    <x v="0"/>
    <x v="21"/>
    <x v="3"/>
    <x v="2"/>
    <x v="0"/>
  </r>
  <r>
    <x v="317"/>
    <x v="8"/>
    <x v="13"/>
    <n v="35.9"/>
    <n v="215.39999999999998"/>
    <x v="13"/>
    <d v="2025-01-15T00:00:00"/>
    <x v="2"/>
    <x v="0"/>
    <x v="1"/>
    <x v="0"/>
    <x v="1"/>
    <x v="3"/>
    <x v="2"/>
    <x v="2"/>
  </r>
  <r>
    <x v="318"/>
    <x v="2"/>
    <x v="1"/>
    <n v="69.099999999999994"/>
    <n v="138.19999999999999"/>
    <x v="13"/>
    <d v="2025-01-17T00:00:00"/>
    <x v="2"/>
    <x v="0"/>
    <x v="2"/>
    <x v="0"/>
    <x v="22"/>
    <x v="2"/>
    <x v="2"/>
    <x v="2"/>
  </r>
  <r>
    <x v="319"/>
    <x v="7"/>
    <x v="0"/>
    <n v="58.4"/>
    <n v="58.4"/>
    <x v="13"/>
    <d v="2025-01-18T00:00:00"/>
    <x v="1"/>
    <x v="0"/>
    <x v="0"/>
    <x v="0"/>
    <x v="22"/>
    <x v="5"/>
    <x v="2"/>
    <x v="1"/>
  </r>
  <r>
    <x v="320"/>
    <x v="5"/>
    <x v="0"/>
    <n v="65.2"/>
    <n v="65.2"/>
    <x v="13"/>
    <d v="2025-01-16T00:00:00"/>
    <x v="3"/>
    <x v="4"/>
    <x v="4"/>
    <x v="0"/>
    <x v="3"/>
    <x v="1"/>
    <x v="2"/>
    <x v="3"/>
  </r>
  <r>
    <x v="321"/>
    <x v="8"/>
    <x v="14"/>
    <n v="32.700000000000003"/>
    <n v="555.90000000000009"/>
    <x v="13"/>
    <d v="2025-01-21T00:00:00"/>
    <x v="0"/>
    <x v="4"/>
    <x v="0"/>
    <x v="0"/>
    <x v="3"/>
    <x v="6"/>
    <x v="2"/>
    <x v="0"/>
  </r>
  <r>
    <x v="322"/>
    <x v="10"/>
    <x v="3"/>
    <n v="24.4"/>
    <n v="170.79999999999998"/>
    <x v="13"/>
    <d v="2025-01-15T00:00:00"/>
    <x v="2"/>
    <x v="0"/>
    <x v="0"/>
    <x v="0"/>
    <x v="3"/>
    <x v="3"/>
    <x v="2"/>
    <x v="2"/>
  </r>
  <r>
    <x v="323"/>
    <x v="14"/>
    <x v="1"/>
    <n v="50.4"/>
    <n v="100.8"/>
    <x v="13"/>
    <d v="2025-01-20T00:00:00"/>
    <x v="1"/>
    <x v="0"/>
    <x v="1"/>
    <x v="0"/>
    <x v="3"/>
    <x v="4"/>
    <x v="2"/>
    <x v="1"/>
  </r>
  <r>
    <x v="324"/>
    <x v="1"/>
    <x v="1"/>
    <n v="100"/>
    <n v="200"/>
    <x v="13"/>
    <d v="2025-01-15T00:00:00"/>
    <x v="2"/>
    <x v="0"/>
    <x v="0"/>
    <x v="0"/>
    <x v="3"/>
    <x v="3"/>
    <x v="2"/>
    <x v="2"/>
  </r>
  <r>
    <x v="325"/>
    <x v="10"/>
    <x v="2"/>
    <n v="43"/>
    <n v="129"/>
    <x v="14"/>
    <d v="2025-01-15T00:00:00"/>
    <x v="2"/>
    <x v="2"/>
    <x v="1"/>
    <x v="0"/>
    <x v="3"/>
    <x v="7"/>
    <x v="2"/>
    <x v="2"/>
  </r>
  <r>
    <x v="326"/>
    <x v="1"/>
    <x v="9"/>
    <n v="64.400000000000006"/>
    <n v="322"/>
    <x v="14"/>
    <d v="2025-01-17T00:00:00"/>
    <x v="1"/>
    <x v="2"/>
    <x v="1"/>
    <x v="0"/>
    <x v="3"/>
    <x v="1"/>
    <x v="2"/>
    <x v="1"/>
  </r>
  <r>
    <x v="327"/>
    <x v="18"/>
    <x v="1"/>
    <n v="57.4"/>
    <n v="114.8"/>
    <x v="14"/>
    <d v="2025-01-16T00:00:00"/>
    <x v="1"/>
    <x v="2"/>
    <x v="1"/>
    <x v="0"/>
    <x v="3"/>
    <x v="3"/>
    <x v="2"/>
    <x v="1"/>
  </r>
  <r>
    <x v="328"/>
    <x v="2"/>
    <x v="2"/>
    <n v="55.1"/>
    <n v="165.3"/>
    <x v="14"/>
    <d v="2025-01-18T00:00:00"/>
    <x v="2"/>
    <x v="1"/>
    <x v="0"/>
    <x v="0"/>
    <x v="3"/>
    <x v="2"/>
    <x v="2"/>
    <x v="2"/>
  </r>
  <r>
    <x v="329"/>
    <x v="7"/>
    <x v="12"/>
    <n v="45.4"/>
    <n v="181.6"/>
    <x v="14"/>
    <d v="2025-01-16T00:00:00"/>
    <x v="2"/>
    <x v="1"/>
    <x v="0"/>
    <x v="0"/>
    <x v="3"/>
    <x v="3"/>
    <x v="2"/>
    <x v="2"/>
  </r>
  <r>
    <x v="330"/>
    <x v="3"/>
    <x v="2"/>
    <n v="93.3"/>
    <n v="279.89999999999998"/>
    <x v="14"/>
    <d v="2025-01-16T00:00:00"/>
    <x v="2"/>
    <x v="0"/>
    <x v="0"/>
    <x v="0"/>
    <x v="40"/>
    <x v="3"/>
    <x v="2"/>
    <x v="2"/>
  </r>
  <r>
    <x v="331"/>
    <x v="2"/>
    <x v="10"/>
    <n v="158.19999999999999"/>
    <n v="3005.7999999999997"/>
    <x v="14"/>
    <d v="2025-01-16T00:00:00"/>
    <x v="2"/>
    <x v="1"/>
    <x v="2"/>
    <x v="0"/>
    <x v="16"/>
    <x v="3"/>
    <x v="2"/>
    <x v="2"/>
  </r>
  <r>
    <x v="332"/>
    <x v="2"/>
    <x v="1"/>
    <n v="74.900000000000006"/>
    <n v="149.80000000000001"/>
    <x v="14"/>
    <d v="2025-01-17T00:00:00"/>
    <x v="1"/>
    <x v="3"/>
    <x v="0"/>
    <x v="0"/>
    <x v="6"/>
    <x v="1"/>
    <x v="2"/>
    <x v="1"/>
  </r>
  <r>
    <x v="333"/>
    <x v="8"/>
    <x v="3"/>
    <n v="26"/>
    <n v="182"/>
    <x v="14"/>
    <d v="2025-01-18T00:00:00"/>
    <x v="2"/>
    <x v="1"/>
    <x v="0"/>
    <x v="0"/>
    <x v="8"/>
    <x v="2"/>
    <x v="2"/>
    <x v="2"/>
  </r>
  <r>
    <x v="334"/>
    <x v="9"/>
    <x v="13"/>
    <n v="37.5"/>
    <n v="225"/>
    <x v="14"/>
    <d v="2025-01-16T00:00:00"/>
    <x v="2"/>
    <x v="0"/>
    <x v="1"/>
    <x v="0"/>
    <x v="8"/>
    <x v="3"/>
    <x v="2"/>
    <x v="2"/>
  </r>
  <r>
    <x v="335"/>
    <x v="6"/>
    <x v="1"/>
    <n v="75.8"/>
    <n v="151.6"/>
    <x v="14"/>
    <d v="2025-01-21T00:00:00"/>
    <x v="1"/>
    <x v="0"/>
    <x v="0"/>
    <x v="0"/>
    <x v="8"/>
    <x v="4"/>
    <x v="2"/>
    <x v="1"/>
  </r>
  <r>
    <x v="336"/>
    <x v="7"/>
    <x v="0"/>
    <n v="48.5"/>
    <n v="48.5"/>
    <x v="14"/>
    <d v="2025-01-27T00:00:00"/>
    <x v="0"/>
    <x v="4"/>
    <x v="2"/>
    <x v="0"/>
    <x v="8"/>
    <x v="13"/>
    <x v="2"/>
    <x v="0"/>
  </r>
  <r>
    <x v="337"/>
    <x v="6"/>
    <x v="2"/>
    <n v="98.9"/>
    <n v="296.70000000000005"/>
    <x v="14"/>
    <d v="2025-01-17T00:00:00"/>
    <x v="2"/>
    <x v="4"/>
    <x v="1"/>
    <x v="0"/>
    <x v="8"/>
    <x v="1"/>
    <x v="2"/>
    <x v="2"/>
  </r>
  <r>
    <x v="338"/>
    <x v="1"/>
    <x v="4"/>
    <n v="50.9"/>
    <n v="610.79999999999995"/>
    <x v="14"/>
    <d v="2025-01-15T00:00:00"/>
    <x v="1"/>
    <x v="4"/>
    <x v="0"/>
    <x v="0"/>
    <x v="8"/>
    <x v="7"/>
    <x v="2"/>
    <x v="1"/>
  </r>
  <r>
    <x v="339"/>
    <x v="12"/>
    <x v="13"/>
    <n v="84.7"/>
    <n v="508.20000000000005"/>
    <x v="14"/>
    <d v="2025-01-15T00:00:00"/>
    <x v="2"/>
    <x v="2"/>
    <x v="0"/>
    <x v="0"/>
    <x v="8"/>
    <x v="7"/>
    <x v="2"/>
    <x v="2"/>
  </r>
  <r>
    <x v="340"/>
    <x v="8"/>
    <x v="0"/>
    <n v="20.7"/>
    <n v="20.7"/>
    <x v="14"/>
    <d v="2025-01-17T00:00:00"/>
    <x v="2"/>
    <x v="3"/>
    <x v="2"/>
    <x v="0"/>
    <x v="8"/>
    <x v="1"/>
    <x v="2"/>
    <x v="2"/>
  </r>
  <r>
    <x v="341"/>
    <x v="12"/>
    <x v="11"/>
    <n v="57.8"/>
    <n v="520.19999999999993"/>
    <x v="14"/>
    <d v="2025-01-26T00:00:00"/>
    <x v="1"/>
    <x v="0"/>
    <x v="4"/>
    <x v="0"/>
    <x v="17"/>
    <x v="11"/>
    <x v="2"/>
    <x v="1"/>
  </r>
  <r>
    <x v="342"/>
    <x v="2"/>
    <x v="1"/>
    <n v="106.9"/>
    <n v="213.8"/>
    <x v="14"/>
    <d v="2025-01-17T00:00:00"/>
    <x v="2"/>
    <x v="0"/>
    <x v="2"/>
    <x v="0"/>
    <x v="41"/>
    <x v="1"/>
    <x v="2"/>
    <x v="2"/>
  </r>
  <r>
    <x v="343"/>
    <x v="3"/>
    <x v="9"/>
    <n v="45.2"/>
    <n v="226"/>
    <x v="14"/>
    <d v="2025-01-19T00:00:00"/>
    <x v="2"/>
    <x v="1"/>
    <x v="0"/>
    <x v="0"/>
    <x v="21"/>
    <x v="5"/>
    <x v="2"/>
    <x v="2"/>
  </r>
  <r>
    <x v="344"/>
    <x v="8"/>
    <x v="15"/>
    <n v="34.6"/>
    <n v="449.8"/>
    <x v="14"/>
    <d v="2025-01-15T00:00:00"/>
    <x v="2"/>
    <x v="1"/>
    <x v="1"/>
    <x v="0"/>
    <x v="21"/>
    <x v="7"/>
    <x v="2"/>
    <x v="2"/>
  </r>
  <r>
    <x v="345"/>
    <x v="15"/>
    <x v="0"/>
    <n v="43.8"/>
    <n v="43.8"/>
    <x v="14"/>
    <d v="2025-01-17T00:00:00"/>
    <x v="0"/>
    <x v="0"/>
    <x v="2"/>
    <x v="0"/>
    <x v="21"/>
    <x v="1"/>
    <x v="2"/>
    <x v="0"/>
  </r>
  <r>
    <x v="346"/>
    <x v="15"/>
    <x v="0"/>
    <n v="20.399999999999999"/>
    <n v="20.399999999999999"/>
    <x v="14"/>
    <d v="2025-01-17T00:00:00"/>
    <x v="1"/>
    <x v="4"/>
    <x v="1"/>
    <x v="0"/>
    <x v="21"/>
    <x v="1"/>
    <x v="2"/>
    <x v="1"/>
  </r>
  <r>
    <x v="347"/>
    <x v="1"/>
    <x v="0"/>
    <n v="36.700000000000003"/>
    <n v="36.700000000000003"/>
    <x v="14"/>
    <d v="2025-01-16T00:00:00"/>
    <x v="1"/>
    <x v="0"/>
    <x v="1"/>
    <x v="0"/>
    <x v="1"/>
    <x v="3"/>
    <x v="2"/>
    <x v="1"/>
  </r>
  <r>
    <x v="348"/>
    <x v="8"/>
    <x v="2"/>
    <n v="27.2"/>
    <n v="81.599999999999994"/>
    <x v="14"/>
    <d v="2025-01-19T00:00:00"/>
    <x v="1"/>
    <x v="0"/>
    <x v="2"/>
    <x v="0"/>
    <x v="1"/>
    <x v="5"/>
    <x v="2"/>
    <x v="1"/>
  </r>
  <r>
    <x v="349"/>
    <x v="6"/>
    <x v="0"/>
    <n v="58.2"/>
    <n v="58.2"/>
    <x v="14"/>
    <d v="2025-01-16T00:00:00"/>
    <x v="2"/>
    <x v="0"/>
    <x v="2"/>
    <x v="0"/>
    <x v="42"/>
    <x v="3"/>
    <x v="2"/>
    <x v="2"/>
  </r>
  <r>
    <x v="350"/>
    <x v="8"/>
    <x v="2"/>
    <n v="25.6"/>
    <n v="76.800000000000011"/>
    <x v="14"/>
    <d v="2025-01-16T00:00:00"/>
    <x v="1"/>
    <x v="4"/>
    <x v="4"/>
    <x v="0"/>
    <x v="2"/>
    <x v="3"/>
    <x v="2"/>
    <x v="1"/>
  </r>
  <r>
    <x v="351"/>
    <x v="10"/>
    <x v="0"/>
    <n v="21.2"/>
    <n v="21.2"/>
    <x v="14"/>
    <d v="2025-01-15T00:00:00"/>
    <x v="2"/>
    <x v="1"/>
    <x v="2"/>
    <x v="0"/>
    <x v="3"/>
    <x v="7"/>
    <x v="2"/>
    <x v="2"/>
  </r>
  <r>
    <x v="352"/>
    <x v="6"/>
    <x v="1"/>
    <n v="48.2"/>
    <n v="96.4"/>
    <x v="14"/>
    <d v="2025-01-23T00:00:00"/>
    <x v="2"/>
    <x v="0"/>
    <x v="2"/>
    <x v="0"/>
    <x v="3"/>
    <x v="9"/>
    <x v="2"/>
    <x v="2"/>
  </r>
  <r>
    <x v="353"/>
    <x v="1"/>
    <x v="12"/>
    <n v="83.4"/>
    <n v="333.6"/>
    <x v="15"/>
    <d v="2025-01-17T00:00:00"/>
    <x v="1"/>
    <x v="0"/>
    <x v="0"/>
    <x v="0"/>
    <x v="3"/>
    <x v="3"/>
    <x v="2"/>
    <x v="1"/>
  </r>
  <r>
    <x v="354"/>
    <x v="9"/>
    <x v="2"/>
    <n v="45.3"/>
    <n v="135.89999999999998"/>
    <x v="15"/>
    <d v="2025-01-22T00:00:00"/>
    <x v="1"/>
    <x v="2"/>
    <x v="1"/>
    <x v="0"/>
    <x v="3"/>
    <x v="4"/>
    <x v="2"/>
    <x v="1"/>
  </r>
  <r>
    <x v="355"/>
    <x v="17"/>
    <x v="0"/>
    <n v="42"/>
    <n v="42"/>
    <x v="15"/>
    <d v="2025-01-17T00:00:00"/>
    <x v="0"/>
    <x v="0"/>
    <x v="0"/>
    <x v="0"/>
    <x v="3"/>
    <x v="3"/>
    <x v="2"/>
    <x v="0"/>
  </r>
  <r>
    <x v="356"/>
    <x v="0"/>
    <x v="11"/>
    <n v="21.8"/>
    <n v="196.20000000000002"/>
    <x v="15"/>
    <d v="2025-01-18T00:00:00"/>
    <x v="2"/>
    <x v="1"/>
    <x v="0"/>
    <x v="0"/>
    <x v="3"/>
    <x v="1"/>
    <x v="2"/>
    <x v="2"/>
  </r>
  <r>
    <x v="357"/>
    <x v="8"/>
    <x v="16"/>
    <n v="21.4"/>
    <n v="385.2"/>
    <x v="15"/>
    <d v="2025-01-19T00:00:00"/>
    <x v="2"/>
    <x v="1"/>
    <x v="2"/>
    <x v="0"/>
    <x v="3"/>
    <x v="2"/>
    <x v="2"/>
    <x v="2"/>
  </r>
  <r>
    <x v="358"/>
    <x v="10"/>
    <x v="2"/>
    <n v="45"/>
    <n v="135"/>
    <x v="15"/>
    <d v="2025-01-16T00:00:00"/>
    <x v="2"/>
    <x v="1"/>
    <x v="2"/>
    <x v="0"/>
    <x v="3"/>
    <x v="7"/>
    <x v="2"/>
    <x v="2"/>
  </r>
  <r>
    <x v="359"/>
    <x v="14"/>
    <x v="0"/>
    <n v="39.6"/>
    <n v="39.6"/>
    <x v="15"/>
    <d v="2025-01-17T00:00:00"/>
    <x v="1"/>
    <x v="0"/>
    <x v="2"/>
    <x v="0"/>
    <x v="3"/>
    <x v="3"/>
    <x v="2"/>
    <x v="1"/>
  </r>
  <r>
    <x v="360"/>
    <x v="12"/>
    <x v="2"/>
    <n v="79.8"/>
    <n v="239.39999999999998"/>
    <x v="15"/>
    <d v="2025-01-22T00:00:00"/>
    <x v="2"/>
    <x v="1"/>
    <x v="4"/>
    <x v="0"/>
    <x v="3"/>
    <x v="4"/>
    <x v="2"/>
    <x v="2"/>
  </r>
  <r>
    <x v="361"/>
    <x v="1"/>
    <x v="12"/>
    <n v="63.6"/>
    <n v="254.4"/>
    <x v="15"/>
    <d v="2025-01-17T00:00:00"/>
    <x v="3"/>
    <x v="0"/>
    <x v="2"/>
    <x v="0"/>
    <x v="24"/>
    <x v="3"/>
    <x v="2"/>
    <x v="3"/>
  </r>
  <r>
    <x v="362"/>
    <x v="7"/>
    <x v="7"/>
    <n v="92.7"/>
    <n v="927"/>
    <x v="15"/>
    <d v="2025-01-20T00:00:00"/>
    <x v="1"/>
    <x v="1"/>
    <x v="2"/>
    <x v="0"/>
    <x v="6"/>
    <x v="5"/>
    <x v="2"/>
    <x v="1"/>
  </r>
  <r>
    <x v="363"/>
    <x v="1"/>
    <x v="12"/>
    <n v="48.4"/>
    <n v="193.6"/>
    <x v="15"/>
    <d v="2025-01-18T00:00:00"/>
    <x v="2"/>
    <x v="1"/>
    <x v="2"/>
    <x v="0"/>
    <x v="6"/>
    <x v="1"/>
    <x v="2"/>
    <x v="2"/>
  </r>
  <r>
    <x v="364"/>
    <x v="9"/>
    <x v="8"/>
    <n v="36"/>
    <n v="288"/>
    <x v="15"/>
    <d v="2025-01-19T00:00:00"/>
    <x v="1"/>
    <x v="2"/>
    <x v="2"/>
    <x v="0"/>
    <x v="8"/>
    <x v="2"/>
    <x v="2"/>
    <x v="1"/>
  </r>
  <r>
    <x v="365"/>
    <x v="8"/>
    <x v="4"/>
    <n v="27"/>
    <n v="324"/>
    <x v="15"/>
    <d v="2025-01-18T00:00:00"/>
    <x v="2"/>
    <x v="2"/>
    <x v="1"/>
    <x v="0"/>
    <x v="8"/>
    <x v="1"/>
    <x v="2"/>
    <x v="2"/>
  </r>
  <r>
    <x v="366"/>
    <x v="2"/>
    <x v="8"/>
    <n v="53.9"/>
    <n v="431.2"/>
    <x v="15"/>
    <d v="2025-01-17T00:00:00"/>
    <x v="0"/>
    <x v="0"/>
    <x v="0"/>
    <x v="0"/>
    <x v="8"/>
    <x v="3"/>
    <x v="2"/>
    <x v="0"/>
  </r>
  <r>
    <x v="367"/>
    <x v="3"/>
    <x v="11"/>
    <n v="48.4"/>
    <n v="435.59999999999997"/>
    <x v="15"/>
    <d v="2025-01-17T00:00:00"/>
    <x v="2"/>
    <x v="1"/>
    <x v="0"/>
    <x v="0"/>
    <x v="9"/>
    <x v="3"/>
    <x v="2"/>
    <x v="2"/>
  </r>
  <r>
    <x v="368"/>
    <x v="17"/>
    <x v="1"/>
    <n v="49.9"/>
    <n v="99.8"/>
    <x v="15"/>
    <d v="2025-01-21T00:00:00"/>
    <x v="1"/>
    <x v="4"/>
    <x v="4"/>
    <x v="0"/>
    <x v="10"/>
    <x v="0"/>
    <x v="2"/>
    <x v="1"/>
  </r>
  <r>
    <x v="369"/>
    <x v="1"/>
    <x v="2"/>
    <n v="51.7"/>
    <n v="155.10000000000002"/>
    <x v="15"/>
    <d v="2025-01-17T00:00:00"/>
    <x v="2"/>
    <x v="0"/>
    <x v="2"/>
    <x v="0"/>
    <x v="11"/>
    <x v="3"/>
    <x v="2"/>
    <x v="2"/>
  </r>
  <r>
    <x v="370"/>
    <x v="8"/>
    <x v="2"/>
    <n v="41.8"/>
    <n v="125.39999999999999"/>
    <x v="15"/>
    <d v="2025-01-18T00:00:00"/>
    <x v="2"/>
    <x v="2"/>
    <x v="0"/>
    <x v="0"/>
    <x v="18"/>
    <x v="1"/>
    <x v="2"/>
    <x v="2"/>
  </r>
  <r>
    <x v="371"/>
    <x v="4"/>
    <x v="12"/>
    <n v="36.200000000000003"/>
    <n v="144.80000000000001"/>
    <x v="16"/>
    <d v="2025-01-18T00:00:00"/>
    <x v="1"/>
    <x v="2"/>
    <x v="2"/>
    <x v="0"/>
    <x v="21"/>
    <x v="3"/>
    <x v="2"/>
    <x v="1"/>
  </r>
  <r>
    <x v="372"/>
    <x v="2"/>
    <x v="0"/>
    <n v="150.9"/>
    <n v="150.9"/>
    <x v="16"/>
    <d v="2025-01-27T00:00:00"/>
    <x v="1"/>
    <x v="0"/>
    <x v="0"/>
    <x v="0"/>
    <x v="1"/>
    <x v="14"/>
    <x v="2"/>
    <x v="1"/>
  </r>
  <r>
    <x v="373"/>
    <x v="18"/>
    <x v="12"/>
    <n v="77.599999999999994"/>
    <n v="310.39999999999998"/>
    <x v="16"/>
    <d v="2025-01-18T00:00:00"/>
    <x v="0"/>
    <x v="2"/>
    <x v="0"/>
    <x v="0"/>
    <x v="3"/>
    <x v="3"/>
    <x v="2"/>
    <x v="0"/>
  </r>
  <r>
    <x v="374"/>
    <x v="13"/>
    <x v="9"/>
    <n v="65.5"/>
    <n v="327.5"/>
    <x v="16"/>
    <d v="2025-01-17T00:00:00"/>
    <x v="1"/>
    <x v="1"/>
    <x v="0"/>
    <x v="0"/>
    <x v="3"/>
    <x v="7"/>
    <x v="2"/>
    <x v="1"/>
  </r>
  <r>
    <x v="375"/>
    <x v="6"/>
    <x v="2"/>
    <n v="90.1"/>
    <n v="270.29999999999995"/>
    <x v="16"/>
    <d v="2025-01-19T00:00:00"/>
    <x v="2"/>
    <x v="0"/>
    <x v="0"/>
    <x v="0"/>
    <x v="3"/>
    <x v="1"/>
    <x v="2"/>
    <x v="2"/>
  </r>
  <r>
    <x v="376"/>
    <x v="1"/>
    <x v="1"/>
    <n v="108.3"/>
    <n v="216.6"/>
    <x v="16"/>
    <d v="2025-01-20T00:00:00"/>
    <x v="3"/>
    <x v="4"/>
    <x v="0"/>
    <x v="0"/>
    <x v="3"/>
    <x v="2"/>
    <x v="2"/>
    <x v="3"/>
  </r>
  <r>
    <x v="377"/>
    <x v="5"/>
    <x v="2"/>
    <n v="59.9"/>
    <n v="179.7"/>
    <x v="16"/>
    <d v="2025-01-21T00:00:00"/>
    <x v="2"/>
    <x v="0"/>
    <x v="0"/>
    <x v="0"/>
    <x v="3"/>
    <x v="5"/>
    <x v="2"/>
    <x v="2"/>
  </r>
  <r>
    <x v="378"/>
    <x v="2"/>
    <x v="14"/>
    <n v="139"/>
    <n v="2363"/>
    <x v="16"/>
    <d v="2025-01-19T00:00:00"/>
    <x v="2"/>
    <x v="1"/>
    <x v="4"/>
    <x v="0"/>
    <x v="3"/>
    <x v="1"/>
    <x v="2"/>
    <x v="2"/>
  </r>
  <r>
    <x v="379"/>
    <x v="6"/>
    <x v="2"/>
    <n v="87.3"/>
    <n v="261.89999999999998"/>
    <x v="16"/>
    <d v="2025-01-18T00:00:00"/>
    <x v="2"/>
    <x v="0"/>
    <x v="0"/>
    <x v="0"/>
    <x v="3"/>
    <x v="3"/>
    <x v="2"/>
    <x v="2"/>
  </r>
  <r>
    <x v="380"/>
    <x v="11"/>
    <x v="12"/>
    <n v="42.3"/>
    <n v="169.2"/>
    <x v="16"/>
    <d v="2025-01-17T00:00:00"/>
    <x v="1"/>
    <x v="0"/>
    <x v="0"/>
    <x v="0"/>
    <x v="3"/>
    <x v="7"/>
    <x v="2"/>
    <x v="1"/>
  </r>
  <r>
    <x v="381"/>
    <x v="14"/>
    <x v="8"/>
    <n v="103.6"/>
    <n v="828.8"/>
    <x v="16"/>
    <d v="2025-01-18T00:00:00"/>
    <x v="3"/>
    <x v="0"/>
    <x v="1"/>
    <x v="0"/>
    <x v="3"/>
    <x v="3"/>
    <x v="2"/>
    <x v="3"/>
  </r>
  <r>
    <x v="382"/>
    <x v="6"/>
    <x v="1"/>
    <n v="90.9"/>
    <n v="181.8"/>
    <x v="16"/>
    <d v="2025-01-18T00:00:00"/>
    <x v="1"/>
    <x v="1"/>
    <x v="0"/>
    <x v="0"/>
    <x v="6"/>
    <x v="3"/>
    <x v="2"/>
    <x v="1"/>
  </r>
  <r>
    <x v="383"/>
    <x v="9"/>
    <x v="27"/>
    <n v="100.9"/>
    <n v="1614.4"/>
    <x v="16"/>
    <d v="2025-01-18T00:00:00"/>
    <x v="2"/>
    <x v="1"/>
    <x v="0"/>
    <x v="0"/>
    <x v="6"/>
    <x v="3"/>
    <x v="2"/>
    <x v="2"/>
  </r>
  <r>
    <x v="384"/>
    <x v="4"/>
    <x v="9"/>
    <n v="36"/>
    <n v="180"/>
    <x v="16"/>
    <d v="2025-01-19T00:00:00"/>
    <x v="2"/>
    <x v="1"/>
    <x v="0"/>
    <x v="0"/>
    <x v="7"/>
    <x v="1"/>
    <x v="2"/>
    <x v="2"/>
  </r>
  <r>
    <x v="385"/>
    <x v="6"/>
    <x v="13"/>
    <n v="83.3"/>
    <n v="499.79999999999995"/>
    <x v="16"/>
    <d v="2025-01-20T00:00:00"/>
    <x v="0"/>
    <x v="2"/>
    <x v="0"/>
    <x v="0"/>
    <x v="7"/>
    <x v="2"/>
    <x v="2"/>
    <x v="0"/>
  </r>
  <r>
    <x v="386"/>
    <x v="2"/>
    <x v="14"/>
    <n v="60.3"/>
    <n v="1025.0999999999999"/>
    <x v="16"/>
    <d v="2025-01-18T00:00:00"/>
    <x v="1"/>
    <x v="2"/>
    <x v="1"/>
    <x v="0"/>
    <x v="7"/>
    <x v="3"/>
    <x v="2"/>
    <x v="1"/>
  </r>
  <r>
    <x v="387"/>
    <x v="2"/>
    <x v="13"/>
    <n v="120.3"/>
    <n v="721.8"/>
    <x v="16"/>
    <d v="2025-01-18T00:00:00"/>
    <x v="1"/>
    <x v="2"/>
    <x v="0"/>
    <x v="0"/>
    <x v="8"/>
    <x v="3"/>
    <x v="2"/>
    <x v="1"/>
  </r>
  <r>
    <x v="388"/>
    <x v="4"/>
    <x v="7"/>
    <n v="34"/>
    <n v="340"/>
    <x v="16"/>
    <d v="2025-01-21T00:00:00"/>
    <x v="2"/>
    <x v="2"/>
    <x v="0"/>
    <x v="0"/>
    <x v="8"/>
    <x v="5"/>
    <x v="2"/>
    <x v="2"/>
  </r>
  <r>
    <x v="389"/>
    <x v="10"/>
    <x v="9"/>
    <n v="42.6"/>
    <n v="213"/>
    <x v="16"/>
    <d v="2025-01-20T00:00:00"/>
    <x v="1"/>
    <x v="1"/>
    <x v="0"/>
    <x v="0"/>
    <x v="8"/>
    <x v="2"/>
    <x v="2"/>
    <x v="1"/>
  </r>
  <r>
    <x v="390"/>
    <x v="5"/>
    <x v="28"/>
    <n v="47.4"/>
    <n v="948"/>
    <x v="16"/>
    <d v="2025-01-17T00:00:00"/>
    <x v="2"/>
    <x v="2"/>
    <x v="1"/>
    <x v="0"/>
    <x v="17"/>
    <x v="7"/>
    <x v="2"/>
    <x v="2"/>
  </r>
  <r>
    <x v="391"/>
    <x v="2"/>
    <x v="0"/>
    <n v="74"/>
    <n v="74"/>
    <x v="17"/>
    <d v="2025-01-19T00:00:00"/>
    <x v="1"/>
    <x v="1"/>
    <x v="0"/>
    <x v="0"/>
    <x v="11"/>
    <x v="3"/>
    <x v="2"/>
    <x v="1"/>
  </r>
  <r>
    <x v="392"/>
    <x v="2"/>
    <x v="9"/>
    <n v="60.4"/>
    <n v="302"/>
    <x v="17"/>
    <d v="2025-01-21T00:00:00"/>
    <x v="2"/>
    <x v="1"/>
    <x v="4"/>
    <x v="0"/>
    <x v="18"/>
    <x v="2"/>
    <x v="2"/>
    <x v="2"/>
  </r>
  <r>
    <x v="393"/>
    <x v="12"/>
    <x v="1"/>
    <n v="69.3"/>
    <n v="138.6"/>
    <x v="17"/>
    <d v="2025-01-21T00:00:00"/>
    <x v="1"/>
    <x v="1"/>
    <x v="1"/>
    <x v="0"/>
    <x v="13"/>
    <x v="2"/>
    <x v="2"/>
    <x v="1"/>
  </r>
  <r>
    <x v="394"/>
    <x v="5"/>
    <x v="9"/>
    <n v="81"/>
    <n v="405"/>
    <x v="17"/>
    <d v="2025-01-24T00:00:00"/>
    <x v="1"/>
    <x v="3"/>
    <x v="0"/>
    <x v="0"/>
    <x v="21"/>
    <x v="4"/>
    <x v="2"/>
    <x v="1"/>
  </r>
  <r>
    <x v="395"/>
    <x v="15"/>
    <x v="2"/>
    <n v="41.5"/>
    <n v="124.5"/>
    <x v="17"/>
    <d v="2025-01-20T00:00:00"/>
    <x v="3"/>
    <x v="1"/>
    <x v="0"/>
    <x v="0"/>
    <x v="21"/>
    <x v="1"/>
    <x v="2"/>
    <x v="3"/>
  </r>
  <r>
    <x v="396"/>
    <x v="18"/>
    <x v="1"/>
    <n v="69.7"/>
    <n v="139.4"/>
    <x v="17"/>
    <d v="2025-01-23T00:00:00"/>
    <x v="1"/>
    <x v="1"/>
    <x v="0"/>
    <x v="0"/>
    <x v="21"/>
    <x v="0"/>
    <x v="2"/>
    <x v="1"/>
  </r>
  <r>
    <x v="397"/>
    <x v="2"/>
    <x v="9"/>
    <n v="83.6"/>
    <n v="418"/>
    <x v="17"/>
    <d v="2025-01-18T00:00:00"/>
    <x v="2"/>
    <x v="4"/>
    <x v="0"/>
    <x v="0"/>
    <x v="1"/>
    <x v="7"/>
    <x v="2"/>
    <x v="2"/>
  </r>
  <r>
    <x v="398"/>
    <x v="8"/>
    <x v="3"/>
    <n v="21.5"/>
    <n v="150.5"/>
    <x v="17"/>
    <d v="2025-01-20T00:00:00"/>
    <x v="1"/>
    <x v="1"/>
    <x v="4"/>
    <x v="0"/>
    <x v="34"/>
    <x v="1"/>
    <x v="2"/>
    <x v="1"/>
  </r>
  <r>
    <x v="399"/>
    <x v="8"/>
    <x v="8"/>
    <n v="28.6"/>
    <n v="228.8"/>
    <x v="17"/>
    <d v="2025-01-19T00:00:00"/>
    <x v="1"/>
    <x v="0"/>
    <x v="0"/>
    <x v="0"/>
    <x v="3"/>
    <x v="3"/>
    <x v="2"/>
    <x v="1"/>
  </r>
  <r>
    <x v="400"/>
    <x v="8"/>
    <x v="13"/>
    <n v="18.8"/>
    <n v="112.80000000000001"/>
    <x v="17"/>
    <d v="2025-01-21T00:00:00"/>
    <x v="1"/>
    <x v="3"/>
    <x v="2"/>
    <x v="0"/>
    <x v="3"/>
    <x v="2"/>
    <x v="2"/>
    <x v="1"/>
  </r>
  <r>
    <x v="401"/>
    <x v="10"/>
    <x v="12"/>
    <n v="35.1"/>
    <n v="140.4"/>
    <x v="17"/>
    <d v="2025-01-18T00:00:00"/>
    <x v="2"/>
    <x v="1"/>
    <x v="1"/>
    <x v="0"/>
    <x v="3"/>
    <x v="7"/>
    <x v="2"/>
    <x v="2"/>
  </r>
  <r>
    <x v="402"/>
    <x v="0"/>
    <x v="1"/>
    <n v="12.7"/>
    <n v="25.4"/>
    <x v="17"/>
    <d v="2025-01-20T00:00:00"/>
    <x v="2"/>
    <x v="1"/>
    <x v="2"/>
    <x v="0"/>
    <x v="3"/>
    <x v="1"/>
    <x v="2"/>
    <x v="2"/>
  </r>
  <r>
    <x v="403"/>
    <x v="8"/>
    <x v="9"/>
    <n v="27.4"/>
    <n v="137"/>
    <x v="17"/>
    <d v="2025-01-20T00:00:00"/>
    <x v="3"/>
    <x v="0"/>
    <x v="0"/>
    <x v="0"/>
    <x v="3"/>
    <x v="1"/>
    <x v="2"/>
    <x v="3"/>
  </r>
  <r>
    <x v="404"/>
    <x v="10"/>
    <x v="1"/>
    <n v="61.3"/>
    <n v="122.6"/>
    <x v="17"/>
    <d v="2025-01-19T00:00:00"/>
    <x v="2"/>
    <x v="1"/>
    <x v="0"/>
    <x v="0"/>
    <x v="6"/>
    <x v="3"/>
    <x v="2"/>
    <x v="2"/>
  </r>
  <r>
    <x v="405"/>
    <x v="8"/>
    <x v="1"/>
    <n v="64.7"/>
    <n v="129.4"/>
    <x v="17"/>
    <d v="2025-01-20T00:00:00"/>
    <x v="2"/>
    <x v="3"/>
    <x v="2"/>
    <x v="0"/>
    <x v="6"/>
    <x v="1"/>
    <x v="2"/>
    <x v="2"/>
  </r>
  <r>
    <x v="406"/>
    <x v="7"/>
    <x v="12"/>
    <n v="91.4"/>
    <n v="365.6"/>
    <x v="17"/>
    <d v="2025-01-20T00:00:00"/>
    <x v="2"/>
    <x v="0"/>
    <x v="0"/>
    <x v="0"/>
    <x v="8"/>
    <x v="1"/>
    <x v="2"/>
    <x v="2"/>
  </r>
  <r>
    <x v="407"/>
    <x v="0"/>
    <x v="1"/>
    <n v="33.1"/>
    <n v="66.2"/>
    <x v="18"/>
    <d v="2025-01-20T00:00:00"/>
    <x v="1"/>
    <x v="0"/>
    <x v="2"/>
    <x v="0"/>
    <x v="8"/>
    <x v="3"/>
    <x v="3"/>
    <x v="1"/>
  </r>
  <r>
    <x v="408"/>
    <x v="3"/>
    <x v="1"/>
    <n v="105.6"/>
    <n v="211.2"/>
    <x v="18"/>
    <d v="2025-01-20T00:00:00"/>
    <x v="1"/>
    <x v="2"/>
    <x v="1"/>
    <x v="0"/>
    <x v="8"/>
    <x v="3"/>
    <x v="3"/>
    <x v="1"/>
  </r>
  <r>
    <x v="409"/>
    <x v="10"/>
    <x v="2"/>
    <n v="46.4"/>
    <n v="139.19999999999999"/>
    <x v="18"/>
    <d v="2025-01-20T00:00:00"/>
    <x v="1"/>
    <x v="2"/>
    <x v="0"/>
    <x v="0"/>
    <x v="9"/>
    <x v="3"/>
    <x v="3"/>
    <x v="1"/>
  </r>
  <r>
    <x v="410"/>
    <x v="9"/>
    <x v="21"/>
    <n v="35.299999999999997"/>
    <n v="494.19999999999993"/>
    <x v="18"/>
    <d v="2025-01-22T00:00:00"/>
    <x v="2"/>
    <x v="4"/>
    <x v="1"/>
    <x v="0"/>
    <x v="11"/>
    <x v="2"/>
    <x v="3"/>
    <x v="2"/>
  </r>
  <r>
    <x v="411"/>
    <x v="0"/>
    <x v="1"/>
    <n v="16.100000000000001"/>
    <n v="32.200000000000003"/>
    <x v="18"/>
    <d v="2025-01-21T00:00:00"/>
    <x v="1"/>
    <x v="3"/>
    <x v="2"/>
    <x v="0"/>
    <x v="32"/>
    <x v="1"/>
    <x v="3"/>
    <x v="1"/>
  </r>
  <r>
    <x v="412"/>
    <x v="4"/>
    <x v="1"/>
    <n v="27.9"/>
    <n v="55.8"/>
    <x v="18"/>
    <d v="2025-01-22T00:00:00"/>
    <x v="1"/>
    <x v="0"/>
    <x v="0"/>
    <x v="0"/>
    <x v="13"/>
    <x v="2"/>
    <x v="3"/>
    <x v="1"/>
  </r>
  <r>
    <x v="413"/>
    <x v="8"/>
    <x v="0"/>
    <n v="47.1"/>
    <n v="47.1"/>
    <x v="18"/>
    <d v="2025-01-27T00:00:00"/>
    <x v="2"/>
    <x v="1"/>
    <x v="0"/>
    <x v="0"/>
    <x v="2"/>
    <x v="9"/>
    <x v="3"/>
    <x v="2"/>
  </r>
  <r>
    <x v="414"/>
    <x v="6"/>
    <x v="1"/>
    <n v="85"/>
    <n v="170"/>
    <x v="18"/>
    <d v="2025-01-22T00:00:00"/>
    <x v="0"/>
    <x v="2"/>
    <x v="2"/>
    <x v="0"/>
    <x v="22"/>
    <x v="2"/>
    <x v="3"/>
    <x v="0"/>
  </r>
  <r>
    <x v="415"/>
    <x v="18"/>
    <x v="1"/>
    <n v="89"/>
    <n v="178"/>
    <x v="18"/>
    <d v="2025-01-21T00:00:00"/>
    <x v="2"/>
    <x v="0"/>
    <x v="0"/>
    <x v="0"/>
    <x v="3"/>
    <x v="1"/>
    <x v="3"/>
    <x v="2"/>
  </r>
  <r>
    <x v="416"/>
    <x v="16"/>
    <x v="2"/>
    <n v="36.6"/>
    <n v="109.80000000000001"/>
    <x v="18"/>
    <d v="2025-01-20T00:00:00"/>
    <x v="3"/>
    <x v="3"/>
    <x v="2"/>
    <x v="0"/>
    <x v="3"/>
    <x v="3"/>
    <x v="3"/>
    <x v="3"/>
  </r>
  <r>
    <x v="417"/>
    <x v="6"/>
    <x v="3"/>
    <n v="43.5"/>
    <n v="304.5"/>
    <x v="18"/>
    <d v="2025-01-20T00:00:00"/>
    <x v="1"/>
    <x v="1"/>
    <x v="2"/>
    <x v="0"/>
    <x v="3"/>
    <x v="3"/>
    <x v="3"/>
    <x v="1"/>
  </r>
  <r>
    <x v="418"/>
    <x v="9"/>
    <x v="10"/>
    <n v="30.5"/>
    <n v="579.5"/>
    <x v="18"/>
    <d v="2025-01-19T00:00:00"/>
    <x v="2"/>
    <x v="3"/>
    <x v="0"/>
    <x v="0"/>
    <x v="3"/>
    <x v="7"/>
    <x v="3"/>
    <x v="2"/>
  </r>
  <r>
    <x v="419"/>
    <x v="1"/>
    <x v="1"/>
    <n v="107.7"/>
    <n v="215.4"/>
    <x v="18"/>
    <d v="2025-01-23T00:00:00"/>
    <x v="1"/>
    <x v="3"/>
    <x v="4"/>
    <x v="0"/>
    <x v="3"/>
    <x v="5"/>
    <x v="3"/>
    <x v="1"/>
  </r>
  <r>
    <x v="420"/>
    <x v="17"/>
    <x v="18"/>
    <n v="57.1"/>
    <n v="1484.6000000000001"/>
    <x v="18"/>
    <d v="2025-01-20T00:00:00"/>
    <x v="1"/>
    <x v="1"/>
    <x v="0"/>
    <x v="0"/>
    <x v="3"/>
    <x v="3"/>
    <x v="3"/>
    <x v="1"/>
  </r>
  <r>
    <x v="421"/>
    <x v="2"/>
    <x v="7"/>
    <n v="111.7"/>
    <n v="1117"/>
    <x v="18"/>
    <d v="2025-01-20T00:00:00"/>
    <x v="2"/>
    <x v="4"/>
    <x v="2"/>
    <x v="0"/>
    <x v="3"/>
    <x v="3"/>
    <x v="3"/>
    <x v="2"/>
  </r>
  <r>
    <x v="422"/>
    <x v="18"/>
    <x v="3"/>
    <n v="44.3"/>
    <n v="310.09999999999997"/>
    <x v="18"/>
    <d v="2025-01-22T00:00:00"/>
    <x v="1"/>
    <x v="3"/>
    <x v="2"/>
    <x v="0"/>
    <x v="3"/>
    <x v="2"/>
    <x v="3"/>
    <x v="1"/>
  </r>
  <r>
    <x v="423"/>
    <x v="2"/>
    <x v="8"/>
    <n v="95.8"/>
    <n v="766.4"/>
    <x v="18"/>
    <d v="2025-01-25T00:00:00"/>
    <x v="3"/>
    <x v="0"/>
    <x v="0"/>
    <x v="0"/>
    <x v="3"/>
    <x v="4"/>
    <x v="3"/>
    <x v="3"/>
  </r>
  <r>
    <x v="424"/>
    <x v="10"/>
    <x v="3"/>
    <n v="22.6"/>
    <n v="158.20000000000002"/>
    <x v="18"/>
    <d v="2025-01-22T00:00:00"/>
    <x v="2"/>
    <x v="3"/>
    <x v="1"/>
    <x v="0"/>
    <x v="3"/>
    <x v="2"/>
    <x v="3"/>
    <x v="2"/>
  </r>
  <r>
    <x v="425"/>
    <x v="8"/>
    <x v="8"/>
    <n v="25.6"/>
    <n v="204.8"/>
    <x v="18"/>
    <d v="2025-01-21T00:00:00"/>
    <x v="2"/>
    <x v="4"/>
    <x v="0"/>
    <x v="0"/>
    <x v="3"/>
    <x v="1"/>
    <x v="3"/>
    <x v="2"/>
  </r>
  <r>
    <x v="426"/>
    <x v="6"/>
    <x v="27"/>
    <n v="54.3"/>
    <n v="868.8"/>
    <x v="18"/>
    <d v="2025-01-22T00:00:00"/>
    <x v="2"/>
    <x v="4"/>
    <x v="0"/>
    <x v="0"/>
    <x v="3"/>
    <x v="2"/>
    <x v="3"/>
    <x v="2"/>
  </r>
  <r>
    <x v="427"/>
    <x v="18"/>
    <x v="15"/>
    <n v="51.3"/>
    <n v="666.9"/>
    <x v="18"/>
    <d v="2025-01-21T00:00:00"/>
    <x v="1"/>
    <x v="0"/>
    <x v="2"/>
    <x v="0"/>
    <x v="3"/>
    <x v="1"/>
    <x v="3"/>
    <x v="1"/>
  </r>
  <r>
    <x v="428"/>
    <x v="0"/>
    <x v="8"/>
    <n v="25.6"/>
    <n v="204.8"/>
    <x v="18"/>
    <d v="2025-01-20T00:00:00"/>
    <x v="2"/>
    <x v="1"/>
    <x v="1"/>
    <x v="0"/>
    <x v="3"/>
    <x v="3"/>
    <x v="3"/>
    <x v="2"/>
  </r>
  <r>
    <x v="429"/>
    <x v="0"/>
    <x v="1"/>
    <n v="15.6"/>
    <n v="31.2"/>
    <x v="18"/>
    <d v="2025-01-20T00:00:00"/>
    <x v="2"/>
    <x v="2"/>
    <x v="2"/>
    <x v="0"/>
    <x v="3"/>
    <x v="3"/>
    <x v="3"/>
    <x v="2"/>
  </r>
  <r>
    <x v="430"/>
    <x v="8"/>
    <x v="2"/>
    <n v="30.3"/>
    <n v="90.9"/>
    <x v="18"/>
    <d v="2025-01-23T00:00:00"/>
    <x v="2"/>
    <x v="0"/>
    <x v="1"/>
    <x v="0"/>
    <x v="3"/>
    <x v="5"/>
    <x v="3"/>
    <x v="2"/>
  </r>
  <r>
    <x v="431"/>
    <x v="12"/>
    <x v="1"/>
    <n v="30.3"/>
    <n v="60.6"/>
    <x v="18"/>
    <d v="2025-01-24T00:00:00"/>
    <x v="2"/>
    <x v="0"/>
    <x v="2"/>
    <x v="0"/>
    <x v="37"/>
    <x v="0"/>
    <x v="3"/>
    <x v="2"/>
  </r>
  <r>
    <x v="432"/>
    <x v="10"/>
    <x v="2"/>
    <n v="53"/>
    <n v="159"/>
    <x v="18"/>
    <d v="2025-01-26T00:00:00"/>
    <x v="2"/>
    <x v="2"/>
    <x v="0"/>
    <x v="0"/>
    <x v="24"/>
    <x v="6"/>
    <x v="3"/>
    <x v="2"/>
  </r>
  <r>
    <x v="433"/>
    <x v="5"/>
    <x v="16"/>
    <n v="59.9"/>
    <n v="1078.2"/>
    <x v="18"/>
    <d v="2025-01-22T00:00:00"/>
    <x v="1"/>
    <x v="2"/>
    <x v="4"/>
    <x v="0"/>
    <x v="25"/>
    <x v="2"/>
    <x v="3"/>
    <x v="1"/>
  </r>
  <r>
    <x v="434"/>
    <x v="9"/>
    <x v="1"/>
    <n v="45.7"/>
    <n v="91.4"/>
    <x v="18"/>
    <d v="2025-01-20T00:00:00"/>
    <x v="2"/>
    <x v="1"/>
    <x v="2"/>
    <x v="0"/>
    <x v="6"/>
    <x v="3"/>
    <x v="3"/>
    <x v="2"/>
  </r>
  <r>
    <x v="435"/>
    <x v="8"/>
    <x v="12"/>
    <n v="46.1"/>
    <n v="184.4"/>
    <x v="18"/>
    <d v="2025-01-20T00:00:00"/>
    <x v="1"/>
    <x v="0"/>
    <x v="0"/>
    <x v="0"/>
    <x v="6"/>
    <x v="3"/>
    <x v="3"/>
    <x v="1"/>
  </r>
  <r>
    <x v="436"/>
    <x v="8"/>
    <x v="2"/>
    <n v="17.5"/>
    <n v="52.5"/>
    <x v="18"/>
    <d v="2025-01-20T00:00:00"/>
    <x v="2"/>
    <x v="0"/>
    <x v="2"/>
    <x v="0"/>
    <x v="8"/>
    <x v="3"/>
    <x v="3"/>
    <x v="2"/>
  </r>
  <r>
    <x v="437"/>
    <x v="10"/>
    <x v="2"/>
    <n v="36.5"/>
    <n v="109.5"/>
    <x v="18"/>
    <d v="2025-01-30T00:00:00"/>
    <x v="1"/>
    <x v="2"/>
    <x v="0"/>
    <x v="0"/>
    <x v="8"/>
    <x v="11"/>
    <x v="3"/>
    <x v="1"/>
  </r>
  <r>
    <x v="438"/>
    <x v="8"/>
    <x v="1"/>
    <n v="47.5"/>
    <n v="95"/>
    <x v="19"/>
    <d v="2025-01-22T00:00:00"/>
    <x v="2"/>
    <x v="1"/>
    <x v="0"/>
    <x v="0"/>
    <x v="8"/>
    <x v="1"/>
    <x v="3"/>
    <x v="2"/>
  </r>
  <r>
    <x v="439"/>
    <x v="6"/>
    <x v="9"/>
    <n v="45.6"/>
    <n v="228"/>
    <x v="19"/>
    <d v="2025-01-22T00:00:00"/>
    <x v="2"/>
    <x v="0"/>
    <x v="2"/>
    <x v="0"/>
    <x v="8"/>
    <x v="1"/>
    <x v="3"/>
    <x v="2"/>
  </r>
  <r>
    <x v="440"/>
    <x v="9"/>
    <x v="1"/>
    <n v="50.5"/>
    <n v="101"/>
    <x v="19"/>
    <d v="2025-01-22T00:00:00"/>
    <x v="1"/>
    <x v="0"/>
    <x v="1"/>
    <x v="0"/>
    <x v="17"/>
    <x v="1"/>
    <x v="3"/>
    <x v="1"/>
  </r>
  <r>
    <x v="441"/>
    <x v="2"/>
    <x v="7"/>
    <n v="99.8"/>
    <n v="998"/>
    <x v="19"/>
    <d v="2025-01-23T00:00:00"/>
    <x v="2"/>
    <x v="2"/>
    <x v="1"/>
    <x v="0"/>
    <x v="17"/>
    <x v="2"/>
    <x v="3"/>
    <x v="2"/>
  </r>
  <r>
    <x v="442"/>
    <x v="8"/>
    <x v="20"/>
    <n v="19.2"/>
    <n v="288"/>
    <x v="19"/>
    <d v="2025-01-22T00:00:00"/>
    <x v="3"/>
    <x v="4"/>
    <x v="1"/>
    <x v="0"/>
    <x v="26"/>
    <x v="1"/>
    <x v="3"/>
    <x v="3"/>
  </r>
  <r>
    <x v="443"/>
    <x v="17"/>
    <x v="2"/>
    <n v="22.6"/>
    <n v="67.800000000000011"/>
    <x v="19"/>
    <d v="2025-01-21T00:00:00"/>
    <x v="1"/>
    <x v="1"/>
    <x v="0"/>
    <x v="0"/>
    <x v="11"/>
    <x v="3"/>
    <x v="3"/>
    <x v="1"/>
  </r>
  <r>
    <x v="444"/>
    <x v="1"/>
    <x v="20"/>
    <n v="126.9"/>
    <n v="1903.5"/>
    <x v="19"/>
    <d v="2025-01-22T00:00:00"/>
    <x v="2"/>
    <x v="0"/>
    <x v="2"/>
    <x v="0"/>
    <x v="11"/>
    <x v="1"/>
    <x v="3"/>
    <x v="2"/>
  </r>
  <r>
    <x v="445"/>
    <x v="2"/>
    <x v="1"/>
    <n v="100.3"/>
    <n v="200.6"/>
    <x v="19"/>
    <d v="2025-01-21T00:00:00"/>
    <x v="2"/>
    <x v="0"/>
    <x v="1"/>
    <x v="0"/>
    <x v="11"/>
    <x v="3"/>
    <x v="3"/>
    <x v="2"/>
  </r>
  <r>
    <x v="446"/>
    <x v="4"/>
    <x v="16"/>
    <n v="24.6"/>
    <n v="442.8"/>
    <x v="19"/>
    <d v="2025-01-21T00:00:00"/>
    <x v="2"/>
    <x v="4"/>
    <x v="0"/>
    <x v="0"/>
    <x v="13"/>
    <x v="3"/>
    <x v="3"/>
    <x v="2"/>
  </r>
  <r>
    <x v="447"/>
    <x v="6"/>
    <x v="1"/>
    <n v="47.3"/>
    <n v="94.6"/>
    <x v="19"/>
    <d v="2025-01-21T00:00:00"/>
    <x v="1"/>
    <x v="1"/>
    <x v="2"/>
    <x v="0"/>
    <x v="13"/>
    <x v="3"/>
    <x v="3"/>
    <x v="1"/>
  </r>
  <r>
    <x v="448"/>
    <x v="6"/>
    <x v="3"/>
    <n v="40.799999999999997"/>
    <n v="285.59999999999997"/>
    <x v="19"/>
    <d v="2025-01-23T00:00:00"/>
    <x v="2"/>
    <x v="2"/>
    <x v="2"/>
    <x v="0"/>
    <x v="21"/>
    <x v="2"/>
    <x v="3"/>
    <x v="2"/>
  </r>
  <r>
    <x v="449"/>
    <x v="8"/>
    <x v="8"/>
    <n v="49.2"/>
    <n v="393.6"/>
    <x v="19"/>
    <d v="2025-01-22T00:00:00"/>
    <x v="2"/>
    <x v="0"/>
    <x v="0"/>
    <x v="0"/>
    <x v="1"/>
    <x v="1"/>
    <x v="3"/>
    <x v="2"/>
  </r>
  <r>
    <x v="450"/>
    <x v="8"/>
    <x v="0"/>
    <n v="28.5"/>
    <n v="28.5"/>
    <x v="19"/>
    <d v="2025-01-22T00:00:00"/>
    <x v="0"/>
    <x v="2"/>
    <x v="1"/>
    <x v="0"/>
    <x v="3"/>
    <x v="1"/>
    <x v="3"/>
    <x v="0"/>
  </r>
  <r>
    <x v="451"/>
    <x v="18"/>
    <x v="1"/>
    <n v="36.799999999999997"/>
    <n v="73.599999999999994"/>
    <x v="19"/>
    <d v="2025-01-26T00:00:00"/>
    <x v="2"/>
    <x v="0"/>
    <x v="2"/>
    <x v="0"/>
    <x v="3"/>
    <x v="4"/>
    <x v="3"/>
    <x v="2"/>
  </r>
  <r>
    <x v="452"/>
    <x v="7"/>
    <x v="2"/>
    <n v="33.5"/>
    <n v="100.5"/>
    <x v="19"/>
    <d v="2025-01-21T00:00:00"/>
    <x v="2"/>
    <x v="0"/>
    <x v="1"/>
    <x v="0"/>
    <x v="3"/>
    <x v="3"/>
    <x v="3"/>
    <x v="2"/>
  </r>
  <r>
    <x v="453"/>
    <x v="6"/>
    <x v="13"/>
    <n v="62.5"/>
    <n v="375"/>
    <x v="19"/>
    <d v="2025-01-22T00:00:00"/>
    <x v="2"/>
    <x v="0"/>
    <x v="0"/>
    <x v="0"/>
    <x v="3"/>
    <x v="1"/>
    <x v="3"/>
    <x v="2"/>
  </r>
  <r>
    <x v="454"/>
    <x v="8"/>
    <x v="29"/>
    <n v="47.9"/>
    <n v="1916"/>
    <x v="19"/>
    <d v="2025-01-21T00:00:00"/>
    <x v="2"/>
    <x v="3"/>
    <x v="0"/>
    <x v="0"/>
    <x v="3"/>
    <x v="3"/>
    <x v="3"/>
    <x v="2"/>
  </r>
  <r>
    <x v="455"/>
    <x v="6"/>
    <x v="13"/>
    <n v="92.9"/>
    <n v="557.40000000000009"/>
    <x v="19"/>
    <d v="2025-01-31T00:00:00"/>
    <x v="2"/>
    <x v="0"/>
    <x v="4"/>
    <x v="0"/>
    <x v="3"/>
    <x v="11"/>
    <x v="3"/>
    <x v="2"/>
  </r>
  <r>
    <x v="456"/>
    <x v="12"/>
    <x v="2"/>
    <n v="44.1"/>
    <n v="132.30000000000001"/>
    <x v="19"/>
    <d v="2025-01-20T00:00:00"/>
    <x v="2"/>
    <x v="1"/>
    <x v="1"/>
    <x v="0"/>
    <x v="43"/>
    <x v="7"/>
    <x v="3"/>
    <x v="2"/>
  </r>
  <r>
    <x v="457"/>
    <x v="0"/>
    <x v="0"/>
    <n v="11.4"/>
    <n v="11.4"/>
    <x v="20"/>
    <d v="2025-01-23T00:00:00"/>
    <x v="2"/>
    <x v="2"/>
    <x v="0"/>
    <x v="0"/>
    <x v="5"/>
    <x v="1"/>
    <x v="3"/>
    <x v="2"/>
  </r>
  <r>
    <x v="458"/>
    <x v="6"/>
    <x v="0"/>
    <n v="83.7"/>
    <n v="83.7"/>
    <x v="20"/>
    <d v="2025-01-23T00:00:00"/>
    <x v="2"/>
    <x v="0"/>
    <x v="2"/>
    <x v="0"/>
    <x v="6"/>
    <x v="1"/>
    <x v="3"/>
    <x v="2"/>
  </r>
  <r>
    <x v="459"/>
    <x v="10"/>
    <x v="1"/>
    <n v="23.2"/>
    <n v="46.4"/>
    <x v="20"/>
    <d v="2025-01-22T00:00:00"/>
    <x v="1"/>
    <x v="2"/>
    <x v="0"/>
    <x v="0"/>
    <x v="8"/>
    <x v="3"/>
    <x v="3"/>
    <x v="1"/>
  </r>
  <r>
    <x v="460"/>
    <x v="2"/>
    <x v="0"/>
    <n v="162.1"/>
    <n v="162.1"/>
    <x v="20"/>
    <d v="2025-01-24T00:00:00"/>
    <x v="2"/>
    <x v="0"/>
    <x v="2"/>
    <x v="0"/>
    <x v="9"/>
    <x v="2"/>
    <x v="3"/>
    <x v="2"/>
  </r>
  <r>
    <x v="461"/>
    <x v="6"/>
    <x v="12"/>
    <n v="49.2"/>
    <n v="196.8"/>
    <x v="20"/>
    <d v="2025-01-25T00:00:00"/>
    <x v="1"/>
    <x v="1"/>
    <x v="0"/>
    <x v="0"/>
    <x v="9"/>
    <x v="5"/>
    <x v="3"/>
    <x v="1"/>
  </r>
  <r>
    <x v="462"/>
    <x v="1"/>
    <x v="1"/>
    <n v="61"/>
    <n v="122"/>
    <x v="20"/>
    <d v="2025-01-22T00:00:00"/>
    <x v="1"/>
    <x v="3"/>
    <x v="0"/>
    <x v="0"/>
    <x v="10"/>
    <x v="3"/>
    <x v="3"/>
    <x v="1"/>
  </r>
  <r>
    <x v="463"/>
    <x v="2"/>
    <x v="7"/>
    <n v="53.1"/>
    <n v="531"/>
    <x v="20"/>
    <d v="2025-01-23T00:00:00"/>
    <x v="1"/>
    <x v="0"/>
    <x v="0"/>
    <x v="0"/>
    <x v="11"/>
    <x v="1"/>
    <x v="3"/>
    <x v="1"/>
  </r>
  <r>
    <x v="464"/>
    <x v="4"/>
    <x v="1"/>
    <n v="22.4"/>
    <n v="44.8"/>
    <x v="20"/>
    <d v="2025-01-23T00:00:00"/>
    <x v="0"/>
    <x v="1"/>
    <x v="2"/>
    <x v="0"/>
    <x v="13"/>
    <x v="1"/>
    <x v="3"/>
    <x v="0"/>
  </r>
  <r>
    <x v="465"/>
    <x v="1"/>
    <x v="9"/>
    <n v="75.3"/>
    <n v="376.5"/>
    <x v="20"/>
    <d v="2025-01-22T00:00:00"/>
    <x v="1"/>
    <x v="0"/>
    <x v="0"/>
    <x v="0"/>
    <x v="21"/>
    <x v="3"/>
    <x v="3"/>
    <x v="1"/>
  </r>
  <r>
    <x v="466"/>
    <x v="6"/>
    <x v="0"/>
    <n v="48.5"/>
    <n v="48.5"/>
    <x v="20"/>
    <d v="2025-01-22T00:00:00"/>
    <x v="2"/>
    <x v="0"/>
    <x v="1"/>
    <x v="0"/>
    <x v="21"/>
    <x v="3"/>
    <x v="3"/>
    <x v="2"/>
  </r>
  <r>
    <x v="467"/>
    <x v="6"/>
    <x v="0"/>
    <n v="42.6"/>
    <n v="42.6"/>
    <x v="20"/>
    <d v="2025-01-25T00:00:00"/>
    <x v="2"/>
    <x v="3"/>
    <x v="0"/>
    <x v="0"/>
    <x v="1"/>
    <x v="5"/>
    <x v="3"/>
    <x v="2"/>
  </r>
  <r>
    <x v="468"/>
    <x v="5"/>
    <x v="9"/>
    <n v="49"/>
    <n v="245"/>
    <x v="20"/>
    <d v="2025-01-22T00:00:00"/>
    <x v="1"/>
    <x v="0"/>
    <x v="0"/>
    <x v="0"/>
    <x v="22"/>
    <x v="3"/>
    <x v="3"/>
    <x v="1"/>
  </r>
  <r>
    <x v="469"/>
    <x v="8"/>
    <x v="2"/>
    <n v="31.3"/>
    <n v="93.9"/>
    <x v="20"/>
    <d v="2025-01-22T00:00:00"/>
    <x v="1"/>
    <x v="2"/>
    <x v="1"/>
    <x v="0"/>
    <x v="3"/>
    <x v="3"/>
    <x v="3"/>
    <x v="1"/>
  </r>
  <r>
    <x v="470"/>
    <x v="2"/>
    <x v="1"/>
    <n v="85.4"/>
    <n v="170.8"/>
    <x v="20"/>
    <d v="2025-01-22T00:00:00"/>
    <x v="2"/>
    <x v="2"/>
    <x v="0"/>
    <x v="0"/>
    <x v="3"/>
    <x v="3"/>
    <x v="3"/>
    <x v="2"/>
  </r>
  <r>
    <x v="471"/>
    <x v="8"/>
    <x v="12"/>
    <n v="40"/>
    <n v="160"/>
    <x v="20"/>
    <d v="2025-01-22T00:00:00"/>
    <x v="3"/>
    <x v="0"/>
    <x v="2"/>
    <x v="0"/>
    <x v="3"/>
    <x v="3"/>
    <x v="3"/>
    <x v="3"/>
  </r>
  <r>
    <x v="472"/>
    <x v="5"/>
    <x v="1"/>
    <n v="38.5"/>
    <n v="77"/>
    <x v="20"/>
    <d v="2025-01-24T00:00:00"/>
    <x v="1"/>
    <x v="1"/>
    <x v="2"/>
    <x v="0"/>
    <x v="3"/>
    <x v="2"/>
    <x v="3"/>
    <x v="1"/>
  </r>
  <r>
    <x v="473"/>
    <x v="2"/>
    <x v="1"/>
    <n v="57.8"/>
    <n v="115.6"/>
    <x v="20"/>
    <d v="2025-01-22T00:00:00"/>
    <x v="0"/>
    <x v="0"/>
    <x v="0"/>
    <x v="0"/>
    <x v="3"/>
    <x v="3"/>
    <x v="3"/>
    <x v="0"/>
  </r>
  <r>
    <x v="474"/>
    <x v="8"/>
    <x v="0"/>
    <n v="19.2"/>
    <n v="19.2"/>
    <x v="20"/>
    <d v="2025-01-22T00:00:00"/>
    <x v="2"/>
    <x v="0"/>
    <x v="4"/>
    <x v="0"/>
    <x v="3"/>
    <x v="3"/>
    <x v="3"/>
    <x v="2"/>
  </r>
  <r>
    <x v="475"/>
    <x v="6"/>
    <x v="13"/>
    <n v="114.8"/>
    <n v="688.8"/>
    <x v="20"/>
    <d v="2025-01-24T00:00:00"/>
    <x v="1"/>
    <x v="1"/>
    <x v="1"/>
    <x v="0"/>
    <x v="3"/>
    <x v="2"/>
    <x v="3"/>
    <x v="1"/>
  </r>
  <r>
    <x v="476"/>
    <x v="10"/>
    <x v="3"/>
    <n v="48.4"/>
    <n v="338.8"/>
    <x v="20"/>
    <d v="2025-01-24T00:00:00"/>
    <x v="2"/>
    <x v="3"/>
    <x v="1"/>
    <x v="0"/>
    <x v="3"/>
    <x v="2"/>
    <x v="3"/>
    <x v="2"/>
  </r>
  <r>
    <x v="477"/>
    <x v="9"/>
    <x v="9"/>
    <n v="73.2"/>
    <n v="366"/>
    <x v="20"/>
    <d v="2025-01-22T00:00:00"/>
    <x v="2"/>
    <x v="1"/>
    <x v="4"/>
    <x v="0"/>
    <x v="3"/>
    <x v="3"/>
    <x v="3"/>
    <x v="2"/>
  </r>
  <r>
    <x v="478"/>
    <x v="15"/>
    <x v="1"/>
    <n v="48.6"/>
    <n v="97.2"/>
    <x v="20"/>
    <d v="2025-01-25T00:00:00"/>
    <x v="2"/>
    <x v="3"/>
    <x v="0"/>
    <x v="0"/>
    <x v="3"/>
    <x v="5"/>
    <x v="3"/>
    <x v="2"/>
  </r>
  <r>
    <x v="479"/>
    <x v="0"/>
    <x v="13"/>
    <n v="48.7"/>
    <n v="292.20000000000005"/>
    <x v="20"/>
    <d v="2025-01-22T00:00:00"/>
    <x v="1"/>
    <x v="0"/>
    <x v="0"/>
    <x v="0"/>
    <x v="3"/>
    <x v="3"/>
    <x v="3"/>
    <x v="1"/>
  </r>
  <r>
    <x v="480"/>
    <x v="4"/>
    <x v="1"/>
    <n v="32.200000000000003"/>
    <n v="64.400000000000006"/>
    <x v="20"/>
    <d v="2025-01-24T00:00:00"/>
    <x v="1"/>
    <x v="2"/>
    <x v="2"/>
    <x v="0"/>
    <x v="3"/>
    <x v="2"/>
    <x v="3"/>
    <x v="1"/>
  </r>
  <r>
    <x v="481"/>
    <x v="15"/>
    <x v="8"/>
    <n v="25.8"/>
    <n v="206.4"/>
    <x v="20"/>
    <d v="2025-01-22T00:00:00"/>
    <x v="1"/>
    <x v="0"/>
    <x v="0"/>
    <x v="0"/>
    <x v="37"/>
    <x v="3"/>
    <x v="3"/>
    <x v="1"/>
  </r>
  <r>
    <x v="482"/>
    <x v="6"/>
    <x v="1"/>
    <n v="94.8"/>
    <n v="189.6"/>
    <x v="21"/>
    <d v="2025-01-25T00:00:00"/>
    <x v="2"/>
    <x v="1"/>
    <x v="1"/>
    <x v="0"/>
    <x v="25"/>
    <x v="2"/>
    <x v="3"/>
    <x v="2"/>
  </r>
  <r>
    <x v="483"/>
    <x v="15"/>
    <x v="30"/>
    <n v="56.8"/>
    <n v="1420"/>
    <x v="21"/>
    <d v="2025-01-25T00:00:00"/>
    <x v="1"/>
    <x v="0"/>
    <x v="0"/>
    <x v="0"/>
    <x v="25"/>
    <x v="2"/>
    <x v="3"/>
    <x v="1"/>
  </r>
  <r>
    <x v="484"/>
    <x v="8"/>
    <x v="27"/>
    <n v="18.3"/>
    <n v="292.8"/>
    <x v="21"/>
    <d v="2025-01-29T00:00:00"/>
    <x v="2"/>
    <x v="2"/>
    <x v="2"/>
    <x v="0"/>
    <x v="23"/>
    <x v="6"/>
    <x v="3"/>
    <x v="2"/>
  </r>
  <r>
    <x v="485"/>
    <x v="0"/>
    <x v="2"/>
    <n v="16.8"/>
    <n v="50.400000000000006"/>
    <x v="21"/>
    <d v="2025-01-27T00:00:00"/>
    <x v="2"/>
    <x v="2"/>
    <x v="2"/>
    <x v="0"/>
    <x v="8"/>
    <x v="0"/>
    <x v="3"/>
    <x v="2"/>
  </r>
  <r>
    <x v="486"/>
    <x v="5"/>
    <x v="5"/>
    <n v="35.799999999999997"/>
    <n v="393.79999999999995"/>
    <x v="21"/>
    <d v="2025-01-23T00:00:00"/>
    <x v="1"/>
    <x v="1"/>
    <x v="0"/>
    <x v="0"/>
    <x v="17"/>
    <x v="3"/>
    <x v="3"/>
    <x v="1"/>
  </r>
  <r>
    <x v="487"/>
    <x v="18"/>
    <x v="0"/>
    <n v="64.900000000000006"/>
    <n v="64.900000000000006"/>
    <x v="21"/>
    <d v="2025-01-23T00:00:00"/>
    <x v="1"/>
    <x v="0"/>
    <x v="1"/>
    <x v="0"/>
    <x v="17"/>
    <x v="3"/>
    <x v="3"/>
    <x v="1"/>
  </r>
  <r>
    <x v="488"/>
    <x v="18"/>
    <x v="0"/>
    <n v="28.5"/>
    <n v="28.5"/>
    <x v="21"/>
    <d v="2025-01-24T00:00:00"/>
    <x v="0"/>
    <x v="1"/>
    <x v="0"/>
    <x v="0"/>
    <x v="9"/>
    <x v="1"/>
    <x v="3"/>
    <x v="0"/>
  </r>
  <r>
    <x v="489"/>
    <x v="18"/>
    <x v="1"/>
    <n v="103.5"/>
    <n v="207"/>
    <x v="21"/>
    <d v="2025-01-24T00:00:00"/>
    <x v="2"/>
    <x v="1"/>
    <x v="0"/>
    <x v="0"/>
    <x v="10"/>
    <x v="1"/>
    <x v="3"/>
    <x v="2"/>
  </r>
  <r>
    <x v="490"/>
    <x v="4"/>
    <x v="1"/>
    <n v="41.2"/>
    <n v="82.4"/>
    <x v="21"/>
    <d v="2025-01-23T00:00:00"/>
    <x v="2"/>
    <x v="1"/>
    <x v="0"/>
    <x v="0"/>
    <x v="10"/>
    <x v="3"/>
    <x v="3"/>
    <x v="2"/>
  </r>
  <r>
    <x v="491"/>
    <x v="9"/>
    <x v="0"/>
    <n v="37.799999999999997"/>
    <n v="37.799999999999997"/>
    <x v="21"/>
    <d v="2025-01-24T00:00:00"/>
    <x v="2"/>
    <x v="3"/>
    <x v="3"/>
    <x v="0"/>
    <x v="11"/>
    <x v="1"/>
    <x v="3"/>
    <x v="2"/>
  </r>
  <r>
    <x v="492"/>
    <x v="8"/>
    <x v="1"/>
    <n v="42.6"/>
    <n v="85.2"/>
    <x v="21"/>
    <d v="2025-01-24T00:00:00"/>
    <x v="2"/>
    <x v="4"/>
    <x v="0"/>
    <x v="0"/>
    <x v="11"/>
    <x v="1"/>
    <x v="3"/>
    <x v="2"/>
  </r>
  <r>
    <x v="493"/>
    <x v="8"/>
    <x v="7"/>
    <n v="15.2"/>
    <n v="152"/>
    <x v="21"/>
    <d v="2025-01-24T00:00:00"/>
    <x v="2"/>
    <x v="2"/>
    <x v="0"/>
    <x v="0"/>
    <x v="11"/>
    <x v="1"/>
    <x v="3"/>
    <x v="2"/>
  </r>
  <r>
    <x v="494"/>
    <x v="7"/>
    <x v="12"/>
    <n v="83.4"/>
    <n v="333.6"/>
    <x v="21"/>
    <d v="2025-01-23T00:00:00"/>
    <x v="2"/>
    <x v="2"/>
    <x v="1"/>
    <x v="0"/>
    <x v="18"/>
    <x v="3"/>
    <x v="3"/>
    <x v="2"/>
  </r>
  <r>
    <x v="495"/>
    <x v="19"/>
    <x v="1"/>
    <n v="27.7"/>
    <n v="55.4"/>
    <x v="21"/>
    <d v="2025-01-23T00:00:00"/>
    <x v="2"/>
    <x v="0"/>
    <x v="1"/>
    <x v="0"/>
    <x v="13"/>
    <x v="3"/>
    <x v="3"/>
    <x v="2"/>
  </r>
  <r>
    <x v="496"/>
    <x v="10"/>
    <x v="4"/>
    <n v="20.8"/>
    <n v="249.60000000000002"/>
    <x v="21"/>
    <d v="2025-01-23T00:00:00"/>
    <x v="1"/>
    <x v="3"/>
    <x v="0"/>
    <x v="0"/>
    <x v="13"/>
    <x v="3"/>
    <x v="3"/>
    <x v="1"/>
  </r>
  <r>
    <x v="497"/>
    <x v="11"/>
    <x v="1"/>
    <n v="72.7"/>
    <n v="145.4"/>
    <x v="21"/>
    <d v="2025-01-26T00:00:00"/>
    <x v="2"/>
    <x v="4"/>
    <x v="2"/>
    <x v="0"/>
    <x v="44"/>
    <x v="5"/>
    <x v="3"/>
    <x v="2"/>
  </r>
  <r>
    <x v="498"/>
    <x v="10"/>
    <x v="12"/>
    <n v="38.6"/>
    <n v="154.4"/>
    <x v="21"/>
    <d v="2025-01-23T00:00:00"/>
    <x v="1"/>
    <x v="0"/>
    <x v="2"/>
    <x v="0"/>
    <x v="22"/>
    <x v="3"/>
    <x v="3"/>
    <x v="1"/>
  </r>
  <r>
    <x v="499"/>
    <x v="8"/>
    <x v="3"/>
    <n v="33.1"/>
    <n v="231.70000000000002"/>
    <x v="21"/>
    <d v="2025-01-23T00:00:00"/>
    <x v="3"/>
    <x v="4"/>
    <x v="3"/>
    <x v="0"/>
    <x v="3"/>
    <x v="3"/>
    <x v="3"/>
    <x v="3"/>
  </r>
  <r>
    <x v="500"/>
    <x v="10"/>
    <x v="1"/>
    <n v="30.5"/>
    <n v="61"/>
    <x v="21"/>
    <d v="2025-01-22T00:00:00"/>
    <x v="0"/>
    <x v="1"/>
    <x v="1"/>
    <x v="0"/>
    <x v="3"/>
    <x v="7"/>
    <x v="3"/>
    <x v="0"/>
  </r>
  <r>
    <x v="501"/>
    <x v="9"/>
    <x v="1"/>
    <n v="69.599999999999994"/>
    <n v="139.19999999999999"/>
    <x v="21"/>
    <d v="2025-01-23T00:00:00"/>
    <x v="1"/>
    <x v="0"/>
    <x v="1"/>
    <x v="0"/>
    <x v="3"/>
    <x v="3"/>
    <x v="3"/>
    <x v="1"/>
  </r>
  <r>
    <x v="502"/>
    <x v="11"/>
    <x v="0"/>
    <n v="42.4"/>
    <n v="42.4"/>
    <x v="21"/>
    <d v="2025-01-26T00:00:00"/>
    <x v="2"/>
    <x v="1"/>
    <x v="0"/>
    <x v="0"/>
    <x v="3"/>
    <x v="5"/>
    <x v="3"/>
    <x v="2"/>
  </r>
  <r>
    <x v="503"/>
    <x v="17"/>
    <x v="0"/>
    <n v="32.200000000000003"/>
    <n v="32.200000000000003"/>
    <x v="21"/>
    <d v="2025-01-25T00:00:00"/>
    <x v="2"/>
    <x v="2"/>
    <x v="1"/>
    <x v="0"/>
    <x v="3"/>
    <x v="2"/>
    <x v="3"/>
    <x v="2"/>
  </r>
  <r>
    <x v="504"/>
    <x v="6"/>
    <x v="1"/>
    <n v="41.5"/>
    <n v="83"/>
    <x v="21"/>
    <d v="2025-01-25T00:00:00"/>
    <x v="2"/>
    <x v="0"/>
    <x v="2"/>
    <x v="0"/>
    <x v="3"/>
    <x v="2"/>
    <x v="3"/>
    <x v="2"/>
  </r>
  <r>
    <x v="505"/>
    <x v="16"/>
    <x v="11"/>
    <n v="58.9"/>
    <n v="530.1"/>
    <x v="21"/>
    <d v="2025-01-26T00:00:00"/>
    <x v="2"/>
    <x v="3"/>
    <x v="0"/>
    <x v="0"/>
    <x v="3"/>
    <x v="5"/>
    <x v="3"/>
    <x v="2"/>
  </r>
  <r>
    <x v="506"/>
    <x v="2"/>
    <x v="0"/>
    <n v="57.1"/>
    <n v="57.1"/>
    <x v="21"/>
    <d v="2025-01-25T00:00:00"/>
    <x v="2"/>
    <x v="1"/>
    <x v="0"/>
    <x v="0"/>
    <x v="3"/>
    <x v="2"/>
    <x v="3"/>
    <x v="2"/>
  </r>
  <r>
    <x v="507"/>
    <x v="6"/>
    <x v="0"/>
    <n v="57.2"/>
    <n v="57.2"/>
    <x v="21"/>
    <d v="2025-01-24T00:00:00"/>
    <x v="1"/>
    <x v="1"/>
    <x v="0"/>
    <x v="0"/>
    <x v="3"/>
    <x v="1"/>
    <x v="3"/>
    <x v="1"/>
  </r>
  <r>
    <x v="508"/>
    <x v="8"/>
    <x v="1"/>
    <n v="35.1"/>
    <n v="70.2"/>
    <x v="21"/>
    <d v="2025-01-23T00:00:00"/>
    <x v="1"/>
    <x v="1"/>
    <x v="0"/>
    <x v="0"/>
    <x v="6"/>
    <x v="3"/>
    <x v="3"/>
    <x v="1"/>
  </r>
  <r>
    <x v="509"/>
    <x v="1"/>
    <x v="0"/>
    <n v="52.1"/>
    <n v="52.1"/>
    <x v="21"/>
    <d v="2025-01-24T00:00:00"/>
    <x v="2"/>
    <x v="4"/>
    <x v="1"/>
    <x v="0"/>
    <x v="8"/>
    <x v="1"/>
    <x v="3"/>
    <x v="2"/>
  </r>
  <r>
    <x v="510"/>
    <x v="13"/>
    <x v="2"/>
    <n v="59.8"/>
    <n v="179.39999999999998"/>
    <x v="21"/>
    <d v="2025-01-24T00:00:00"/>
    <x v="2"/>
    <x v="4"/>
    <x v="1"/>
    <x v="0"/>
    <x v="8"/>
    <x v="1"/>
    <x v="3"/>
    <x v="2"/>
  </r>
  <r>
    <x v="511"/>
    <x v="3"/>
    <x v="12"/>
    <n v="83.3"/>
    <n v="333.2"/>
    <x v="21"/>
    <d v="2025-01-22T00:00:00"/>
    <x v="0"/>
    <x v="2"/>
    <x v="0"/>
    <x v="0"/>
    <x v="8"/>
    <x v="7"/>
    <x v="3"/>
    <x v="0"/>
  </r>
  <r>
    <x v="512"/>
    <x v="15"/>
    <x v="4"/>
    <n v="41.3"/>
    <n v="495.59999999999997"/>
    <x v="21"/>
    <d v="2025-01-23T00:00:00"/>
    <x v="2"/>
    <x v="1"/>
    <x v="0"/>
    <x v="0"/>
    <x v="8"/>
    <x v="3"/>
    <x v="3"/>
    <x v="2"/>
  </r>
  <r>
    <x v="513"/>
    <x v="8"/>
    <x v="9"/>
    <n v="16"/>
    <n v="80"/>
    <x v="21"/>
    <d v="2025-01-24T00:00:00"/>
    <x v="1"/>
    <x v="4"/>
    <x v="1"/>
    <x v="0"/>
    <x v="9"/>
    <x v="1"/>
    <x v="3"/>
    <x v="1"/>
  </r>
  <r>
    <x v="514"/>
    <x v="10"/>
    <x v="1"/>
    <n v="20.8"/>
    <n v="41.6"/>
    <x v="22"/>
    <d v="2025-01-25T00:00:00"/>
    <x v="1"/>
    <x v="0"/>
    <x v="2"/>
    <x v="0"/>
    <x v="11"/>
    <x v="1"/>
    <x v="3"/>
    <x v="1"/>
  </r>
  <r>
    <x v="515"/>
    <x v="8"/>
    <x v="31"/>
    <n v="27.1"/>
    <n v="758.80000000000007"/>
    <x v="22"/>
    <d v="2025-01-24T00:00:00"/>
    <x v="0"/>
    <x v="3"/>
    <x v="2"/>
    <x v="0"/>
    <x v="11"/>
    <x v="3"/>
    <x v="3"/>
    <x v="0"/>
  </r>
  <r>
    <x v="516"/>
    <x v="10"/>
    <x v="1"/>
    <n v="38.9"/>
    <n v="77.8"/>
    <x v="22"/>
    <d v="2025-01-25T00:00:00"/>
    <x v="2"/>
    <x v="0"/>
    <x v="0"/>
    <x v="0"/>
    <x v="18"/>
    <x v="1"/>
    <x v="3"/>
    <x v="2"/>
  </r>
  <r>
    <x v="517"/>
    <x v="0"/>
    <x v="1"/>
    <n v="10.8"/>
    <n v="21.6"/>
    <x v="22"/>
    <d v="2025-01-26T00:00:00"/>
    <x v="2"/>
    <x v="1"/>
    <x v="2"/>
    <x v="0"/>
    <x v="45"/>
    <x v="2"/>
    <x v="3"/>
    <x v="2"/>
  </r>
  <r>
    <x v="518"/>
    <x v="4"/>
    <x v="15"/>
    <n v="48.4"/>
    <n v="629.19999999999993"/>
    <x v="22"/>
    <d v="2025-01-27T00:00:00"/>
    <x v="2"/>
    <x v="0"/>
    <x v="0"/>
    <x v="0"/>
    <x v="21"/>
    <x v="5"/>
    <x v="3"/>
    <x v="2"/>
  </r>
  <r>
    <x v="519"/>
    <x v="4"/>
    <x v="2"/>
    <n v="29.2"/>
    <n v="87.6"/>
    <x v="22"/>
    <d v="2025-01-26T00:00:00"/>
    <x v="2"/>
    <x v="1"/>
    <x v="1"/>
    <x v="0"/>
    <x v="2"/>
    <x v="2"/>
    <x v="3"/>
    <x v="2"/>
  </r>
  <r>
    <x v="520"/>
    <x v="4"/>
    <x v="1"/>
    <n v="25.1"/>
    <n v="50.2"/>
    <x v="22"/>
    <d v="2025-01-24T00:00:00"/>
    <x v="1"/>
    <x v="0"/>
    <x v="1"/>
    <x v="0"/>
    <x v="2"/>
    <x v="3"/>
    <x v="3"/>
    <x v="1"/>
  </r>
  <r>
    <x v="521"/>
    <x v="7"/>
    <x v="2"/>
    <n v="65.599999999999994"/>
    <n v="196.79999999999998"/>
    <x v="22"/>
    <d v="2025-01-23T00:00:00"/>
    <x v="2"/>
    <x v="2"/>
    <x v="1"/>
    <x v="0"/>
    <x v="3"/>
    <x v="7"/>
    <x v="3"/>
    <x v="2"/>
  </r>
  <r>
    <x v="522"/>
    <x v="2"/>
    <x v="1"/>
    <n v="57.3"/>
    <n v="114.6"/>
    <x v="22"/>
    <d v="2025-01-23T00:00:00"/>
    <x v="0"/>
    <x v="0"/>
    <x v="0"/>
    <x v="0"/>
    <x v="3"/>
    <x v="7"/>
    <x v="3"/>
    <x v="0"/>
  </r>
  <r>
    <x v="523"/>
    <x v="9"/>
    <x v="12"/>
    <n v="22.4"/>
    <n v="89.6"/>
    <x v="22"/>
    <d v="2025-01-24T00:00:00"/>
    <x v="2"/>
    <x v="2"/>
    <x v="2"/>
    <x v="0"/>
    <x v="3"/>
    <x v="3"/>
    <x v="3"/>
    <x v="2"/>
  </r>
  <r>
    <x v="524"/>
    <x v="12"/>
    <x v="11"/>
    <n v="45.7"/>
    <n v="411.3"/>
    <x v="22"/>
    <d v="2025-01-24T00:00:00"/>
    <x v="2"/>
    <x v="0"/>
    <x v="0"/>
    <x v="0"/>
    <x v="3"/>
    <x v="3"/>
    <x v="3"/>
    <x v="2"/>
  </r>
  <r>
    <x v="525"/>
    <x v="8"/>
    <x v="1"/>
    <n v="29.3"/>
    <n v="58.6"/>
    <x v="22"/>
    <d v="2025-01-24T00:00:00"/>
    <x v="1"/>
    <x v="1"/>
    <x v="0"/>
    <x v="0"/>
    <x v="3"/>
    <x v="3"/>
    <x v="3"/>
    <x v="1"/>
  </r>
  <r>
    <x v="526"/>
    <x v="18"/>
    <x v="32"/>
    <n v="74"/>
    <n v="1628"/>
    <x v="22"/>
    <d v="2025-01-24T00:00:00"/>
    <x v="1"/>
    <x v="0"/>
    <x v="2"/>
    <x v="0"/>
    <x v="3"/>
    <x v="3"/>
    <x v="3"/>
    <x v="1"/>
  </r>
  <r>
    <x v="527"/>
    <x v="14"/>
    <x v="1"/>
    <n v="39.200000000000003"/>
    <n v="78.400000000000006"/>
    <x v="22"/>
    <d v="2025-01-25T00:00:00"/>
    <x v="2"/>
    <x v="1"/>
    <x v="0"/>
    <x v="0"/>
    <x v="3"/>
    <x v="1"/>
    <x v="3"/>
    <x v="2"/>
  </r>
  <r>
    <x v="528"/>
    <x v="4"/>
    <x v="14"/>
    <n v="62.7"/>
    <n v="1065.9000000000001"/>
    <x v="22"/>
    <d v="2025-01-24T00:00:00"/>
    <x v="2"/>
    <x v="2"/>
    <x v="1"/>
    <x v="0"/>
    <x v="3"/>
    <x v="3"/>
    <x v="3"/>
    <x v="2"/>
  </r>
  <r>
    <x v="529"/>
    <x v="10"/>
    <x v="1"/>
    <n v="60.1"/>
    <n v="120.2"/>
    <x v="22"/>
    <d v="2025-01-24T00:00:00"/>
    <x v="2"/>
    <x v="3"/>
    <x v="0"/>
    <x v="0"/>
    <x v="3"/>
    <x v="3"/>
    <x v="3"/>
    <x v="2"/>
  </r>
  <r>
    <x v="530"/>
    <x v="0"/>
    <x v="12"/>
    <n v="11.2"/>
    <n v="44.8"/>
    <x v="22"/>
    <d v="2025-01-24T00:00:00"/>
    <x v="2"/>
    <x v="3"/>
    <x v="1"/>
    <x v="0"/>
    <x v="3"/>
    <x v="3"/>
    <x v="3"/>
    <x v="2"/>
  </r>
  <r>
    <x v="531"/>
    <x v="8"/>
    <x v="1"/>
    <n v="22.9"/>
    <n v="45.8"/>
    <x v="22"/>
    <d v="2025-01-24T00:00:00"/>
    <x v="2"/>
    <x v="0"/>
    <x v="0"/>
    <x v="0"/>
    <x v="6"/>
    <x v="3"/>
    <x v="3"/>
    <x v="2"/>
  </r>
  <r>
    <x v="532"/>
    <x v="1"/>
    <x v="1"/>
    <n v="37.6"/>
    <n v="75.2"/>
    <x v="22"/>
    <d v="2025-01-26T00:00:00"/>
    <x v="2"/>
    <x v="0"/>
    <x v="0"/>
    <x v="0"/>
    <x v="6"/>
    <x v="2"/>
    <x v="3"/>
    <x v="2"/>
  </r>
  <r>
    <x v="533"/>
    <x v="6"/>
    <x v="0"/>
    <n v="42.4"/>
    <n v="42.4"/>
    <x v="22"/>
    <d v="2025-01-24T00:00:00"/>
    <x v="2"/>
    <x v="3"/>
    <x v="2"/>
    <x v="0"/>
    <x v="6"/>
    <x v="3"/>
    <x v="3"/>
    <x v="2"/>
  </r>
  <r>
    <x v="534"/>
    <x v="8"/>
    <x v="1"/>
    <n v="19.600000000000001"/>
    <n v="39.200000000000003"/>
    <x v="22"/>
    <d v="2025-01-27T00:00:00"/>
    <x v="2"/>
    <x v="2"/>
    <x v="0"/>
    <x v="0"/>
    <x v="7"/>
    <x v="5"/>
    <x v="3"/>
    <x v="2"/>
  </r>
  <r>
    <x v="535"/>
    <x v="9"/>
    <x v="0"/>
    <n v="90.5"/>
    <n v="90.5"/>
    <x v="22"/>
    <d v="2025-01-26T00:00:00"/>
    <x v="2"/>
    <x v="2"/>
    <x v="0"/>
    <x v="0"/>
    <x v="7"/>
    <x v="2"/>
    <x v="3"/>
    <x v="2"/>
  </r>
  <r>
    <x v="536"/>
    <x v="16"/>
    <x v="5"/>
    <n v="33.9"/>
    <n v="372.9"/>
    <x v="22"/>
    <d v="2025-01-24T00:00:00"/>
    <x v="1"/>
    <x v="2"/>
    <x v="1"/>
    <x v="0"/>
    <x v="7"/>
    <x v="3"/>
    <x v="3"/>
    <x v="1"/>
  </r>
  <r>
    <x v="537"/>
    <x v="0"/>
    <x v="1"/>
    <n v="32.799999999999997"/>
    <n v="65.599999999999994"/>
    <x v="22"/>
    <d v="2025-01-25T00:00:00"/>
    <x v="2"/>
    <x v="4"/>
    <x v="4"/>
    <x v="0"/>
    <x v="8"/>
    <x v="1"/>
    <x v="3"/>
    <x v="2"/>
  </r>
  <r>
    <x v="538"/>
    <x v="15"/>
    <x v="0"/>
    <n v="49.9"/>
    <n v="49.9"/>
    <x v="22"/>
    <d v="2025-01-24T00:00:00"/>
    <x v="1"/>
    <x v="3"/>
    <x v="1"/>
    <x v="0"/>
    <x v="8"/>
    <x v="3"/>
    <x v="3"/>
    <x v="1"/>
  </r>
  <r>
    <x v="539"/>
    <x v="7"/>
    <x v="9"/>
    <n v="79.2"/>
    <n v="396"/>
    <x v="22"/>
    <d v="2025-01-24T00:00:00"/>
    <x v="2"/>
    <x v="4"/>
    <x v="0"/>
    <x v="0"/>
    <x v="8"/>
    <x v="3"/>
    <x v="3"/>
    <x v="2"/>
  </r>
  <r>
    <x v="540"/>
    <x v="8"/>
    <x v="27"/>
    <n v="19.5"/>
    <n v="312"/>
    <x v="22"/>
    <d v="2025-01-25T00:00:00"/>
    <x v="1"/>
    <x v="3"/>
    <x v="2"/>
    <x v="0"/>
    <x v="8"/>
    <x v="1"/>
    <x v="3"/>
    <x v="1"/>
  </r>
  <r>
    <x v="541"/>
    <x v="8"/>
    <x v="12"/>
    <n v="18"/>
    <n v="72"/>
    <x v="22"/>
    <d v="2025-01-24T00:00:00"/>
    <x v="1"/>
    <x v="1"/>
    <x v="0"/>
    <x v="0"/>
    <x v="10"/>
    <x v="3"/>
    <x v="3"/>
    <x v="1"/>
  </r>
  <r>
    <x v="542"/>
    <x v="9"/>
    <x v="2"/>
    <n v="45.9"/>
    <n v="137.69999999999999"/>
    <x v="22"/>
    <d v="2025-01-25T00:00:00"/>
    <x v="2"/>
    <x v="1"/>
    <x v="1"/>
    <x v="0"/>
    <x v="10"/>
    <x v="1"/>
    <x v="3"/>
    <x v="2"/>
  </r>
  <r>
    <x v="543"/>
    <x v="11"/>
    <x v="0"/>
    <n v="41.2"/>
    <n v="41.2"/>
    <x v="22"/>
    <d v="2025-01-25T00:00:00"/>
    <x v="2"/>
    <x v="1"/>
    <x v="2"/>
    <x v="0"/>
    <x v="11"/>
    <x v="1"/>
    <x v="3"/>
    <x v="2"/>
  </r>
  <r>
    <x v="544"/>
    <x v="2"/>
    <x v="7"/>
    <n v="167.2"/>
    <n v="1672"/>
    <x v="22"/>
    <d v="2025-01-25T00:00:00"/>
    <x v="2"/>
    <x v="2"/>
    <x v="2"/>
    <x v="0"/>
    <x v="32"/>
    <x v="1"/>
    <x v="3"/>
    <x v="2"/>
  </r>
  <r>
    <x v="545"/>
    <x v="6"/>
    <x v="17"/>
    <n v="74.5"/>
    <n v="2235"/>
    <x v="23"/>
    <d v="2025-01-27T00:00:00"/>
    <x v="2"/>
    <x v="1"/>
    <x v="2"/>
    <x v="0"/>
    <x v="38"/>
    <x v="2"/>
    <x v="3"/>
    <x v="2"/>
  </r>
  <r>
    <x v="546"/>
    <x v="7"/>
    <x v="12"/>
    <n v="39.299999999999997"/>
    <n v="157.19999999999999"/>
    <x v="23"/>
    <d v="2025-01-25T00:00:00"/>
    <x v="0"/>
    <x v="2"/>
    <x v="0"/>
    <x v="0"/>
    <x v="19"/>
    <x v="3"/>
    <x v="3"/>
    <x v="0"/>
  </r>
  <r>
    <x v="547"/>
    <x v="9"/>
    <x v="0"/>
    <n v="68.5"/>
    <n v="68.5"/>
    <x v="23"/>
    <d v="2025-01-27T00:00:00"/>
    <x v="1"/>
    <x v="1"/>
    <x v="2"/>
    <x v="0"/>
    <x v="12"/>
    <x v="2"/>
    <x v="3"/>
    <x v="1"/>
  </r>
  <r>
    <x v="548"/>
    <x v="0"/>
    <x v="2"/>
    <n v="22.5"/>
    <n v="67.5"/>
    <x v="23"/>
    <d v="2025-01-24T00:00:00"/>
    <x v="2"/>
    <x v="4"/>
    <x v="0"/>
    <x v="0"/>
    <x v="13"/>
    <x v="7"/>
    <x v="3"/>
    <x v="2"/>
  </r>
  <r>
    <x v="549"/>
    <x v="1"/>
    <x v="0"/>
    <n v="48"/>
    <n v="48"/>
    <x v="23"/>
    <d v="2025-01-25T00:00:00"/>
    <x v="3"/>
    <x v="4"/>
    <x v="1"/>
    <x v="0"/>
    <x v="46"/>
    <x v="3"/>
    <x v="3"/>
    <x v="3"/>
  </r>
  <r>
    <x v="550"/>
    <x v="6"/>
    <x v="0"/>
    <n v="94"/>
    <n v="94"/>
    <x v="23"/>
    <d v="2025-01-25T00:00:00"/>
    <x v="1"/>
    <x v="3"/>
    <x v="1"/>
    <x v="0"/>
    <x v="1"/>
    <x v="3"/>
    <x v="3"/>
    <x v="1"/>
  </r>
  <r>
    <x v="551"/>
    <x v="8"/>
    <x v="2"/>
    <n v="21.9"/>
    <n v="65.699999999999989"/>
    <x v="23"/>
    <d v="2025-01-25T00:00:00"/>
    <x v="2"/>
    <x v="0"/>
    <x v="0"/>
    <x v="0"/>
    <x v="44"/>
    <x v="3"/>
    <x v="3"/>
    <x v="2"/>
  </r>
  <r>
    <x v="552"/>
    <x v="6"/>
    <x v="3"/>
    <n v="64.900000000000006"/>
    <n v="454.30000000000007"/>
    <x v="23"/>
    <d v="2025-01-25T00:00:00"/>
    <x v="2"/>
    <x v="0"/>
    <x v="0"/>
    <x v="0"/>
    <x v="3"/>
    <x v="3"/>
    <x v="3"/>
    <x v="2"/>
  </r>
  <r>
    <x v="553"/>
    <x v="12"/>
    <x v="0"/>
    <n v="52.9"/>
    <n v="52.9"/>
    <x v="23"/>
    <d v="2025-01-24T00:00:00"/>
    <x v="2"/>
    <x v="1"/>
    <x v="1"/>
    <x v="0"/>
    <x v="3"/>
    <x v="7"/>
    <x v="3"/>
    <x v="2"/>
  </r>
  <r>
    <x v="554"/>
    <x v="8"/>
    <x v="2"/>
    <n v="25.5"/>
    <n v="76.5"/>
    <x v="23"/>
    <d v="2025-01-25T00:00:00"/>
    <x v="2"/>
    <x v="1"/>
    <x v="2"/>
    <x v="0"/>
    <x v="3"/>
    <x v="3"/>
    <x v="3"/>
    <x v="2"/>
  </r>
  <r>
    <x v="555"/>
    <x v="6"/>
    <x v="2"/>
    <n v="51.9"/>
    <n v="155.69999999999999"/>
    <x v="23"/>
    <d v="2025-01-25T00:00:00"/>
    <x v="2"/>
    <x v="3"/>
    <x v="0"/>
    <x v="0"/>
    <x v="3"/>
    <x v="3"/>
    <x v="3"/>
    <x v="2"/>
  </r>
  <r>
    <x v="556"/>
    <x v="5"/>
    <x v="0"/>
    <n v="46.3"/>
    <n v="46.3"/>
    <x v="23"/>
    <d v="2025-01-27T00:00:00"/>
    <x v="2"/>
    <x v="4"/>
    <x v="0"/>
    <x v="0"/>
    <x v="3"/>
    <x v="2"/>
    <x v="3"/>
    <x v="2"/>
  </r>
  <r>
    <x v="557"/>
    <x v="6"/>
    <x v="1"/>
    <n v="68.2"/>
    <n v="136.4"/>
    <x v="23"/>
    <d v="2025-01-26T00:00:00"/>
    <x v="2"/>
    <x v="3"/>
    <x v="0"/>
    <x v="0"/>
    <x v="3"/>
    <x v="1"/>
    <x v="3"/>
    <x v="2"/>
  </r>
  <r>
    <x v="558"/>
    <x v="1"/>
    <x v="0"/>
    <n v="40.299999999999997"/>
    <n v="40.299999999999997"/>
    <x v="23"/>
    <d v="2025-01-25T00:00:00"/>
    <x v="1"/>
    <x v="0"/>
    <x v="1"/>
    <x v="0"/>
    <x v="3"/>
    <x v="3"/>
    <x v="3"/>
    <x v="1"/>
  </r>
  <r>
    <x v="559"/>
    <x v="2"/>
    <x v="2"/>
    <n v="91.3"/>
    <n v="273.89999999999998"/>
    <x v="23"/>
    <d v="2025-01-29T00:00:00"/>
    <x v="1"/>
    <x v="0"/>
    <x v="2"/>
    <x v="0"/>
    <x v="6"/>
    <x v="0"/>
    <x v="3"/>
    <x v="1"/>
  </r>
  <r>
    <x v="560"/>
    <x v="0"/>
    <x v="2"/>
    <n v="11.9"/>
    <n v="35.700000000000003"/>
    <x v="23"/>
    <d v="2025-01-25T00:00:00"/>
    <x v="2"/>
    <x v="0"/>
    <x v="1"/>
    <x v="0"/>
    <x v="6"/>
    <x v="3"/>
    <x v="3"/>
    <x v="2"/>
  </r>
  <r>
    <x v="561"/>
    <x v="2"/>
    <x v="1"/>
    <n v="63.5"/>
    <n v="127"/>
    <x v="23"/>
    <d v="2025-01-26T00:00:00"/>
    <x v="1"/>
    <x v="1"/>
    <x v="0"/>
    <x v="0"/>
    <x v="6"/>
    <x v="1"/>
    <x v="3"/>
    <x v="1"/>
  </r>
  <r>
    <x v="562"/>
    <x v="4"/>
    <x v="1"/>
    <n v="27.1"/>
    <n v="54.2"/>
    <x v="23"/>
    <d v="2025-01-27T00:00:00"/>
    <x v="1"/>
    <x v="2"/>
    <x v="2"/>
    <x v="0"/>
    <x v="6"/>
    <x v="2"/>
    <x v="3"/>
    <x v="1"/>
  </r>
  <r>
    <x v="563"/>
    <x v="1"/>
    <x v="1"/>
    <n v="82.1"/>
    <n v="164.2"/>
    <x v="24"/>
    <d v="2025-01-28T00:00:00"/>
    <x v="1"/>
    <x v="1"/>
    <x v="1"/>
    <x v="0"/>
    <x v="7"/>
    <x v="2"/>
    <x v="3"/>
    <x v="1"/>
  </r>
  <r>
    <x v="564"/>
    <x v="3"/>
    <x v="9"/>
    <n v="42.9"/>
    <n v="214.5"/>
    <x v="24"/>
    <d v="2025-01-27T00:00:00"/>
    <x v="2"/>
    <x v="1"/>
    <x v="0"/>
    <x v="0"/>
    <x v="8"/>
    <x v="1"/>
    <x v="3"/>
    <x v="2"/>
  </r>
  <r>
    <x v="565"/>
    <x v="8"/>
    <x v="5"/>
    <n v="37.9"/>
    <n v="416.9"/>
    <x v="24"/>
    <d v="2025-02-01T00:00:00"/>
    <x v="1"/>
    <x v="0"/>
    <x v="0"/>
    <x v="0"/>
    <x v="8"/>
    <x v="6"/>
    <x v="3"/>
    <x v="1"/>
  </r>
  <r>
    <x v="566"/>
    <x v="0"/>
    <x v="0"/>
    <n v="22.4"/>
    <n v="22.4"/>
    <x v="24"/>
    <d v="2025-01-26T00:00:00"/>
    <x v="2"/>
    <x v="0"/>
    <x v="1"/>
    <x v="0"/>
    <x v="17"/>
    <x v="3"/>
    <x v="3"/>
    <x v="2"/>
  </r>
  <r>
    <x v="567"/>
    <x v="2"/>
    <x v="15"/>
    <n v="79.900000000000006"/>
    <n v="1038.7"/>
    <x v="24"/>
    <d v="2025-02-07T00:00:00"/>
    <x v="2"/>
    <x v="3"/>
    <x v="1"/>
    <x v="0"/>
    <x v="11"/>
    <x v="10"/>
    <x v="3"/>
    <x v="2"/>
  </r>
  <r>
    <x v="568"/>
    <x v="1"/>
    <x v="0"/>
    <n v="70.599999999999994"/>
    <n v="70.599999999999994"/>
    <x v="24"/>
    <d v="2025-01-28T00:00:00"/>
    <x v="2"/>
    <x v="0"/>
    <x v="1"/>
    <x v="0"/>
    <x v="11"/>
    <x v="2"/>
    <x v="3"/>
    <x v="2"/>
  </r>
  <r>
    <x v="569"/>
    <x v="6"/>
    <x v="0"/>
    <n v="49.5"/>
    <n v="49.5"/>
    <x v="24"/>
    <d v="2025-01-27T00:00:00"/>
    <x v="1"/>
    <x v="0"/>
    <x v="0"/>
    <x v="0"/>
    <x v="13"/>
    <x v="1"/>
    <x v="3"/>
    <x v="1"/>
  </r>
  <r>
    <x v="570"/>
    <x v="2"/>
    <x v="1"/>
    <n v="96.6"/>
    <n v="193.2"/>
    <x v="24"/>
    <d v="2025-01-27T00:00:00"/>
    <x v="1"/>
    <x v="0"/>
    <x v="0"/>
    <x v="0"/>
    <x v="21"/>
    <x v="1"/>
    <x v="3"/>
    <x v="1"/>
  </r>
  <r>
    <x v="571"/>
    <x v="6"/>
    <x v="1"/>
    <n v="52.8"/>
    <n v="105.6"/>
    <x v="24"/>
    <d v="2025-01-26T00:00:00"/>
    <x v="2"/>
    <x v="1"/>
    <x v="1"/>
    <x v="0"/>
    <x v="21"/>
    <x v="3"/>
    <x v="3"/>
    <x v="2"/>
  </r>
  <r>
    <x v="572"/>
    <x v="2"/>
    <x v="0"/>
    <n v="101.7"/>
    <n v="101.7"/>
    <x v="24"/>
    <d v="2025-01-26T00:00:00"/>
    <x v="1"/>
    <x v="0"/>
    <x v="0"/>
    <x v="0"/>
    <x v="1"/>
    <x v="3"/>
    <x v="3"/>
    <x v="1"/>
  </r>
  <r>
    <x v="573"/>
    <x v="4"/>
    <x v="9"/>
    <n v="26.9"/>
    <n v="134.5"/>
    <x v="24"/>
    <d v="2025-01-30T00:00:00"/>
    <x v="2"/>
    <x v="1"/>
    <x v="1"/>
    <x v="0"/>
    <x v="22"/>
    <x v="0"/>
    <x v="3"/>
    <x v="2"/>
  </r>
  <r>
    <x v="574"/>
    <x v="2"/>
    <x v="12"/>
    <n v="211"/>
    <n v="844"/>
    <x v="24"/>
    <d v="2025-01-25T00:00:00"/>
    <x v="2"/>
    <x v="1"/>
    <x v="1"/>
    <x v="0"/>
    <x v="3"/>
    <x v="7"/>
    <x v="3"/>
    <x v="2"/>
  </r>
  <r>
    <x v="575"/>
    <x v="0"/>
    <x v="12"/>
    <n v="21.1"/>
    <n v="84.4"/>
    <x v="24"/>
    <d v="2025-01-28T00:00:00"/>
    <x v="1"/>
    <x v="4"/>
    <x v="0"/>
    <x v="0"/>
    <x v="3"/>
    <x v="2"/>
    <x v="3"/>
    <x v="1"/>
  </r>
  <r>
    <x v="576"/>
    <x v="10"/>
    <x v="0"/>
    <n v="26.6"/>
    <n v="26.6"/>
    <x v="24"/>
    <d v="2025-01-27T00:00:00"/>
    <x v="1"/>
    <x v="0"/>
    <x v="4"/>
    <x v="0"/>
    <x v="3"/>
    <x v="1"/>
    <x v="3"/>
    <x v="1"/>
  </r>
  <r>
    <x v="577"/>
    <x v="12"/>
    <x v="12"/>
    <n v="51.2"/>
    <n v="204.8"/>
    <x v="24"/>
    <d v="2025-01-26T00:00:00"/>
    <x v="2"/>
    <x v="3"/>
    <x v="0"/>
    <x v="0"/>
    <x v="47"/>
    <x v="3"/>
    <x v="3"/>
    <x v="2"/>
  </r>
  <r>
    <x v="578"/>
    <x v="0"/>
    <x v="9"/>
    <n v="10.6"/>
    <n v="53"/>
    <x v="24"/>
    <d v="2025-01-29T00:00:00"/>
    <x v="2"/>
    <x v="0"/>
    <x v="0"/>
    <x v="0"/>
    <x v="8"/>
    <x v="5"/>
    <x v="3"/>
    <x v="2"/>
  </r>
  <r>
    <x v="579"/>
    <x v="6"/>
    <x v="2"/>
    <n v="43.4"/>
    <n v="130.19999999999999"/>
    <x v="24"/>
    <d v="2025-01-28T00:00:00"/>
    <x v="2"/>
    <x v="4"/>
    <x v="0"/>
    <x v="0"/>
    <x v="8"/>
    <x v="2"/>
    <x v="3"/>
    <x v="2"/>
  </r>
  <r>
    <x v="580"/>
    <x v="12"/>
    <x v="0"/>
    <n v="80"/>
    <n v="80"/>
    <x v="24"/>
    <d v="2025-01-25T00:00:00"/>
    <x v="2"/>
    <x v="0"/>
    <x v="2"/>
    <x v="0"/>
    <x v="8"/>
    <x v="7"/>
    <x v="3"/>
    <x v="2"/>
  </r>
  <r>
    <x v="581"/>
    <x v="10"/>
    <x v="12"/>
    <n v="64.7"/>
    <n v="258.8"/>
    <x v="24"/>
    <d v="2025-01-27T00:00:00"/>
    <x v="2"/>
    <x v="1"/>
    <x v="4"/>
    <x v="0"/>
    <x v="8"/>
    <x v="1"/>
    <x v="3"/>
    <x v="2"/>
  </r>
  <r>
    <x v="582"/>
    <x v="8"/>
    <x v="5"/>
    <n v="26.3"/>
    <n v="289.3"/>
    <x v="25"/>
    <d v="2025-01-26T00:00:00"/>
    <x v="2"/>
    <x v="4"/>
    <x v="1"/>
    <x v="0"/>
    <x v="26"/>
    <x v="7"/>
    <x v="4"/>
    <x v="2"/>
  </r>
  <r>
    <x v="583"/>
    <x v="10"/>
    <x v="0"/>
    <n v="28.5"/>
    <n v="28.5"/>
    <x v="25"/>
    <d v="2025-01-26T00:00:00"/>
    <x v="1"/>
    <x v="0"/>
    <x v="1"/>
    <x v="0"/>
    <x v="9"/>
    <x v="7"/>
    <x v="4"/>
    <x v="1"/>
  </r>
  <r>
    <x v="584"/>
    <x v="17"/>
    <x v="0"/>
    <n v="47.8"/>
    <n v="47.8"/>
    <x v="25"/>
    <d v="2025-01-28T00:00:00"/>
    <x v="2"/>
    <x v="0"/>
    <x v="1"/>
    <x v="0"/>
    <x v="9"/>
    <x v="1"/>
    <x v="4"/>
    <x v="2"/>
  </r>
  <r>
    <x v="585"/>
    <x v="10"/>
    <x v="2"/>
    <n v="42.8"/>
    <n v="128.39999999999998"/>
    <x v="25"/>
    <d v="2025-01-29T00:00:00"/>
    <x v="2"/>
    <x v="4"/>
    <x v="1"/>
    <x v="0"/>
    <x v="11"/>
    <x v="2"/>
    <x v="4"/>
    <x v="2"/>
  </r>
  <r>
    <x v="586"/>
    <x v="6"/>
    <x v="9"/>
    <n v="46.8"/>
    <n v="234"/>
    <x v="25"/>
    <d v="2025-01-31T00:00:00"/>
    <x v="2"/>
    <x v="1"/>
    <x v="2"/>
    <x v="0"/>
    <x v="11"/>
    <x v="0"/>
    <x v="4"/>
    <x v="2"/>
  </r>
  <r>
    <x v="587"/>
    <x v="1"/>
    <x v="7"/>
    <n v="64.099999999999994"/>
    <n v="641"/>
    <x v="25"/>
    <d v="2025-01-27T00:00:00"/>
    <x v="1"/>
    <x v="1"/>
    <x v="0"/>
    <x v="0"/>
    <x v="11"/>
    <x v="3"/>
    <x v="4"/>
    <x v="1"/>
  </r>
  <r>
    <x v="588"/>
    <x v="2"/>
    <x v="0"/>
    <n v="89.1"/>
    <n v="89.1"/>
    <x v="25"/>
    <d v="2025-01-27T00:00:00"/>
    <x v="2"/>
    <x v="0"/>
    <x v="1"/>
    <x v="0"/>
    <x v="20"/>
    <x v="3"/>
    <x v="4"/>
    <x v="2"/>
  </r>
  <r>
    <x v="589"/>
    <x v="2"/>
    <x v="2"/>
    <n v="83.1"/>
    <n v="249.29999999999998"/>
    <x v="25"/>
    <d v="2025-01-27T00:00:00"/>
    <x v="2"/>
    <x v="2"/>
    <x v="1"/>
    <x v="0"/>
    <x v="13"/>
    <x v="3"/>
    <x v="4"/>
    <x v="2"/>
  </r>
  <r>
    <x v="590"/>
    <x v="8"/>
    <x v="2"/>
    <n v="40.9"/>
    <n v="122.69999999999999"/>
    <x v="25"/>
    <d v="2025-01-27T00:00:00"/>
    <x v="1"/>
    <x v="0"/>
    <x v="0"/>
    <x v="0"/>
    <x v="1"/>
    <x v="3"/>
    <x v="4"/>
    <x v="1"/>
  </r>
  <r>
    <x v="591"/>
    <x v="2"/>
    <x v="1"/>
    <n v="125.7"/>
    <n v="251.4"/>
    <x v="25"/>
    <d v="2025-01-27T00:00:00"/>
    <x v="2"/>
    <x v="3"/>
    <x v="0"/>
    <x v="0"/>
    <x v="2"/>
    <x v="3"/>
    <x v="4"/>
    <x v="2"/>
  </r>
  <r>
    <x v="592"/>
    <x v="3"/>
    <x v="1"/>
    <n v="30.9"/>
    <n v="61.8"/>
    <x v="25"/>
    <d v="2025-01-26T00:00:00"/>
    <x v="2"/>
    <x v="2"/>
    <x v="2"/>
    <x v="0"/>
    <x v="22"/>
    <x v="7"/>
    <x v="4"/>
    <x v="2"/>
  </r>
  <r>
    <x v="593"/>
    <x v="8"/>
    <x v="1"/>
    <n v="18.3"/>
    <n v="36.6"/>
    <x v="25"/>
    <d v="2025-01-27T00:00:00"/>
    <x v="2"/>
    <x v="1"/>
    <x v="0"/>
    <x v="0"/>
    <x v="3"/>
    <x v="3"/>
    <x v="4"/>
    <x v="2"/>
  </r>
  <r>
    <x v="594"/>
    <x v="4"/>
    <x v="1"/>
    <n v="56.5"/>
    <n v="113"/>
    <x v="25"/>
    <d v="2025-01-30T00:00:00"/>
    <x v="1"/>
    <x v="2"/>
    <x v="2"/>
    <x v="0"/>
    <x v="3"/>
    <x v="5"/>
    <x v="4"/>
    <x v="1"/>
  </r>
  <r>
    <x v="595"/>
    <x v="10"/>
    <x v="3"/>
    <n v="29.9"/>
    <n v="209.29999999999998"/>
    <x v="25"/>
    <d v="2025-01-28T00:00:00"/>
    <x v="1"/>
    <x v="4"/>
    <x v="2"/>
    <x v="0"/>
    <x v="3"/>
    <x v="1"/>
    <x v="4"/>
    <x v="1"/>
  </r>
  <r>
    <x v="596"/>
    <x v="5"/>
    <x v="1"/>
    <n v="50.4"/>
    <n v="100.8"/>
    <x v="25"/>
    <d v="2025-01-27T00:00:00"/>
    <x v="2"/>
    <x v="2"/>
    <x v="0"/>
    <x v="0"/>
    <x v="3"/>
    <x v="3"/>
    <x v="4"/>
    <x v="2"/>
  </r>
  <r>
    <x v="597"/>
    <x v="2"/>
    <x v="0"/>
    <n v="85.8"/>
    <n v="85.8"/>
    <x v="25"/>
    <d v="2025-01-26T00:00:00"/>
    <x v="2"/>
    <x v="2"/>
    <x v="2"/>
    <x v="0"/>
    <x v="3"/>
    <x v="7"/>
    <x v="4"/>
    <x v="2"/>
  </r>
  <r>
    <x v="598"/>
    <x v="4"/>
    <x v="27"/>
    <n v="66.599999999999994"/>
    <n v="1065.5999999999999"/>
    <x v="25"/>
    <d v="2025-01-28T00:00:00"/>
    <x v="1"/>
    <x v="1"/>
    <x v="0"/>
    <x v="0"/>
    <x v="3"/>
    <x v="1"/>
    <x v="4"/>
    <x v="1"/>
  </r>
  <r>
    <x v="599"/>
    <x v="6"/>
    <x v="12"/>
    <n v="70.3"/>
    <n v="281.2"/>
    <x v="25"/>
    <d v="2025-01-27T00:00:00"/>
    <x v="2"/>
    <x v="0"/>
    <x v="1"/>
    <x v="0"/>
    <x v="3"/>
    <x v="3"/>
    <x v="4"/>
    <x v="2"/>
  </r>
  <r>
    <x v="600"/>
    <x v="8"/>
    <x v="12"/>
    <n v="31"/>
    <n v="124"/>
    <x v="25"/>
    <d v="2025-01-29T00:00:00"/>
    <x v="1"/>
    <x v="0"/>
    <x v="2"/>
    <x v="0"/>
    <x v="3"/>
    <x v="2"/>
    <x v="4"/>
    <x v="1"/>
  </r>
  <r>
    <x v="601"/>
    <x v="7"/>
    <x v="13"/>
    <n v="81.599999999999994"/>
    <n v="489.59999999999997"/>
    <x v="25"/>
    <d v="2025-01-27T00:00:00"/>
    <x v="2"/>
    <x v="1"/>
    <x v="1"/>
    <x v="0"/>
    <x v="37"/>
    <x v="3"/>
    <x v="4"/>
    <x v="2"/>
  </r>
  <r>
    <x v="602"/>
    <x v="1"/>
    <x v="30"/>
    <n v="58.3"/>
    <n v="1457.5"/>
    <x v="25"/>
    <d v="2025-01-27T00:00:00"/>
    <x v="2"/>
    <x v="0"/>
    <x v="0"/>
    <x v="0"/>
    <x v="16"/>
    <x v="3"/>
    <x v="4"/>
    <x v="2"/>
  </r>
  <r>
    <x v="603"/>
    <x v="1"/>
    <x v="12"/>
    <n v="35.1"/>
    <n v="140.4"/>
    <x v="25"/>
    <d v="2025-01-28T00:00:00"/>
    <x v="1"/>
    <x v="0"/>
    <x v="2"/>
    <x v="0"/>
    <x v="8"/>
    <x v="1"/>
    <x v="4"/>
    <x v="1"/>
  </r>
  <r>
    <x v="604"/>
    <x v="2"/>
    <x v="0"/>
    <n v="80.2"/>
    <n v="80.2"/>
    <x v="25"/>
    <d v="2025-01-27T00:00:00"/>
    <x v="1"/>
    <x v="3"/>
    <x v="2"/>
    <x v="0"/>
    <x v="8"/>
    <x v="3"/>
    <x v="4"/>
    <x v="1"/>
  </r>
  <r>
    <x v="605"/>
    <x v="14"/>
    <x v="2"/>
    <n v="39.200000000000003"/>
    <n v="117.60000000000001"/>
    <x v="25"/>
    <d v="2025-01-28T00:00:00"/>
    <x v="2"/>
    <x v="1"/>
    <x v="0"/>
    <x v="0"/>
    <x v="9"/>
    <x v="1"/>
    <x v="4"/>
    <x v="2"/>
  </r>
  <r>
    <x v="606"/>
    <x v="0"/>
    <x v="1"/>
    <n v="15.4"/>
    <n v="30.8"/>
    <x v="25"/>
    <d v="2025-01-26T00:00:00"/>
    <x v="2"/>
    <x v="3"/>
    <x v="0"/>
    <x v="0"/>
    <x v="48"/>
    <x v="7"/>
    <x v="4"/>
    <x v="2"/>
  </r>
  <r>
    <x v="607"/>
    <x v="3"/>
    <x v="2"/>
    <n v="65.400000000000006"/>
    <n v="196.20000000000002"/>
    <x v="25"/>
    <d v="2025-01-29T00:00:00"/>
    <x v="1"/>
    <x v="3"/>
    <x v="0"/>
    <x v="0"/>
    <x v="18"/>
    <x v="2"/>
    <x v="4"/>
    <x v="1"/>
  </r>
  <r>
    <x v="608"/>
    <x v="1"/>
    <x v="8"/>
    <n v="63.2"/>
    <n v="505.6"/>
    <x v="25"/>
    <d v="2025-01-28T00:00:00"/>
    <x v="2"/>
    <x v="1"/>
    <x v="0"/>
    <x v="0"/>
    <x v="19"/>
    <x v="1"/>
    <x v="4"/>
    <x v="2"/>
  </r>
  <r>
    <x v="609"/>
    <x v="1"/>
    <x v="13"/>
    <n v="35.700000000000003"/>
    <n v="214.20000000000002"/>
    <x v="25"/>
    <d v="2025-01-30T00:00:00"/>
    <x v="2"/>
    <x v="4"/>
    <x v="1"/>
    <x v="0"/>
    <x v="19"/>
    <x v="5"/>
    <x v="4"/>
    <x v="2"/>
  </r>
  <r>
    <x v="610"/>
    <x v="0"/>
    <x v="28"/>
    <n v="26.2"/>
    <n v="524"/>
    <x v="25"/>
    <d v="2025-01-27T00:00:00"/>
    <x v="2"/>
    <x v="3"/>
    <x v="0"/>
    <x v="0"/>
    <x v="21"/>
    <x v="3"/>
    <x v="4"/>
    <x v="2"/>
  </r>
  <r>
    <x v="611"/>
    <x v="7"/>
    <x v="1"/>
    <n v="31"/>
    <n v="62"/>
    <x v="25"/>
    <d v="2025-01-27T00:00:00"/>
    <x v="2"/>
    <x v="0"/>
    <x v="2"/>
    <x v="0"/>
    <x v="1"/>
    <x v="3"/>
    <x v="4"/>
    <x v="2"/>
  </r>
  <r>
    <x v="612"/>
    <x v="8"/>
    <x v="12"/>
    <n v="37.700000000000003"/>
    <n v="150.80000000000001"/>
    <x v="25"/>
    <d v="2025-01-27T00:00:00"/>
    <x v="2"/>
    <x v="1"/>
    <x v="0"/>
    <x v="0"/>
    <x v="22"/>
    <x v="3"/>
    <x v="4"/>
    <x v="2"/>
  </r>
  <r>
    <x v="613"/>
    <x v="10"/>
    <x v="33"/>
    <n v="43.6"/>
    <n v="1482.4"/>
    <x v="25"/>
    <d v="2025-01-28T00:00:00"/>
    <x v="2"/>
    <x v="4"/>
    <x v="1"/>
    <x v="0"/>
    <x v="3"/>
    <x v="1"/>
    <x v="4"/>
    <x v="2"/>
  </r>
  <r>
    <x v="614"/>
    <x v="9"/>
    <x v="12"/>
    <n v="26.5"/>
    <n v="106"/>
    <x v="25"/>
    <d v="2025-01-28T00:00:00"/>
    <x v="1"/>
    <x v="0"/>
    <x v="4"/>
    <x v="0"/>
    <x v="3"/>
    <x v="1"/>
    <x v="4"/>
    <x v="1"/>
  </r>
  <r>
    <x v="615"/>
    <x v="0"/>
    <x v="1"/>
    <n v="34.6"/>
    <n v="69.2"/>
    <x v="25"/>
    <d v="2025-01-27T00:00:00"/>
    <x v="1"/>
    <x v="4"/>
    <x v="1"/>
    <x v="0"/>
    <x v="3"/>
    <x v="3"/>
    <x v="4"/>
    <x v="1"/>
  </r>
  <r>
    <x v="616"/>
    <x v="8"/>
    <x v="1"/>
    <n v="58.2"/>
    <n v="116.4"/>
    <x v="25"/>
    <d v="2025-01-27T00:00:00"/>
    <x v="1"/>
    <x v="2"/>
    <x v="2"/>
    <x v="0"/>
    <x v="3"/>
    <x v="3"/>
    <x v="4"/>
    <x v="1"/>
  </r>
  <r>
    <x v="617"/>
    <x v="7"/>
    <x v="0"/>
    <n v="30.2"/>
    <n v="30.2"/>
    <x v="26"/>
    <d v="2025-01-28T00:00:00"/>
    <x v="2"/>
    <x v="2"/>
    <x v="1"/>
    <x v="0"/>
    <x v="3"/>
    <x v="3"/>
    <x v="4"/>
    <x v="2"/>
  </r>
  <r>
    <x v="618"/>
    <x v="1"/>
    <x v="7"/>
    <n v="53.2"/>
    <n v="532"/>
    <x v="26"/>
    <d v="2025-01-28T00:00:00"/>
    <x v="1"/>
    <x v="0"/>
    <x v="2"/>
    <x v="0"/>
    <x v="5"/>
    <x v="3"/>
    <x v="4"/>
    <x v="1"/>
  </r>
  <r>
    <x v="619"/>
    <x v="12"/>
    <x v="13"/>
    <n v="51.1"/>
    <n v="306.60000000000002"/>
    <x v="26"/>
    <d v="2025-01-27T00:00:00"/>
    <x v="1"/>
    <x v="1"/>
    <x v="2"/>
    <x v="0"/>
    <x v="5"/>
    <x v="7"/>
    <x v="4"/>
    <x v="1"/>
  </r>
  <r>
    <x v="620"/>
    <x v="1"/>
    <x v="0"/>
    <n v="105.4"/>
    <n v="105.4"/>
    <x v="26"/>
    <d v="2025-01-31T00:00:00"/>
    <x v="2"/>
    <x v="1"/>
    <x v="2"/>
    <x v="0"/>
    <x v="23"/>
    <x v="5"/>
    <x v="4"/>
    <x v="2"/>
  </r>
  <r>
    <x v="621"/>
    <x v="7"/>
    <x v="0"/>
    <n v="57.7"/>
    <n v="57.7"/>
    <x v="26"/>
    <d v="2025-01-27T00:00:00"/>
    <x v="1"/>
    <x v="0"/>
    <x v="4"/>
    <x v="0"/>
    <x v="8"/>
    <x v="7"/>
    <x v="4"/>
    <x v="1"/>
  </r>
  <r>
    <x v="622"/>
    <x v="15"/>
    <x v="1"/>
    <n v="72.400000000000006"/>
    <n v="144.80000000000001"/>
    <x v="26"/>
    <d v="2025-02-01T00:00:00"/>
    <x v="2"/>
    <x v="0"/>
    <x v="0"/>
    <x v="0"/>
    <x v="17"/>
    <x v="0"/>
    <x v="4"/>
    <x v="2"/>
  </r>
  <r>
    <x v="623"/>
    <x v="6"/>
    <x v="1"/>
    <n v="62.5"/>
    <n v="125"/>
    <x v="26"/>
    <d v="2025-01-28T00:00:00"/>
    <x v="0"/>
    <x v="0"/>
    <x v="2"/>
    <x v="0"/>
    <x v="11"/>
    <x v="3"/>
    <x v="4"/>
    <x v="0"/>
  </r>
  <r>
    <x v="624"/>
    <x v="0"/>
    <x v="32"/>
    <n v="11.6"/>
    <n v="255.2"/>
    <x v="26"/>
    <d v="2025-01-29T00:00:00"/>
    <x v="2"/>
    <x v="3"/>
    <x v="2"/>
    <x v="0"/>
    <x v="18"/>
    <x v="1"/>
    <x v="4"/>
    <x v="2"/>
  </r>
  <r>
    <x v="625"/>
    <x v="10"/>
    <x v="7"/>
    <n v="39.6"/>
    <n v="396"/>
    <x v="26"/>
    <d v="2025-01-29T00:00:00"/>
    <x v="2"/>
    <x v="2"/>
    <x v="2"/>
    <x v="0"/>
    <x v="18"/>
    <x v="1"/>
    <x v="4"/>
    <x v="2"/>
  </r>
  <r>
    <x v="626"/>
    <x v="8"/>
    <x v="1"/>
    <n v="40.1"/>
    <n v="80.2"/>
    <x v="26"/>
    <d v="2025-01-28T00:00:00"/>
    <x v="2"/>
    <x v="2"/>
    <x v="0"/>
    <x v="0"/>
    <x v="18"/>
    <x v="3"/>
    <x v="4"/>
    <x v="2"/>
  </r>
  <r>
    <x v="627"/>
    <x v="8"/>
    <x v="2"/>
    <n v="18.600000000000001"/>
    <n v="55.800000000000004"/>
    <x v="26"/>
    <d v="2025-01-28T00:00:00"/>
    <x v="2"/>
    <x v="2"/>
    <x v="0"/>
    <x v="0"/>
    <x v="21"/>
    <x v="3"/>
    <x v="4"/>
    <x v="2"/>
  </r>
  <r>
    <x v="628"/>
    <x v="4"/>
    <x v="0"/>
    <n v="58.8"/>
    <n v="58.8"/>
    <x v="26"/>
    <d v="2025-01-29T00:00:00"/>
    <x v="2"/>
    <x v="0"/>
    <x v="1"/>
    <x v="0"/>
    <x v="21"/>
    <x v="1"/>
    <x v="4"/>
    <x v="2"/>
  </r>
  <r>
    <x v="629"/>
    <x v="8"/>
    <x v="1"/>
    <n v="22.1"/>
    <n v="44.2"/>
    <x v="26"/>
    <d v="2025-01-30T00:00:00"/>
    <x v="1"/>
    <x v="1"/>
    <x v="2"/>
    <x v="0"/>
    <x v="21"/>
    <x v="2"/>
    <x v="4"/>
    <x v="1"/>
  </r>
  <r>
    <x v="630"/>
    <x v="2"/>
    <x v="0"/>
    <n v="114.9"/>
    <n v="114.9"/>
    <x v="27"/>
    <d v="2025-01-29T00:00:00"/>
    <x v="2"/>
    <x v="1"/>
    <x v="1"/>
    <x v="0"/>
    <x v="22"/>
    <x v="3"/>
    <x v="4"/>
    <x v="2"/>
  </r>
  <r>
    <x v="631"/>
    <x v="9"/>
    <x v="9"/>
    <n v="75.8"/>
    <n v="379"/>
    <x v="27"/>
    <d v="2025-01-29T00:00:00"/>
    <x v="1"/>
    <x v="0"/>
    <x v="2"/>
    <x v="0"/>
    <x v="3"/>
    <x v="3"/>
    <x v="4"/>
    <x v="1"/>
  </r>
  <r>
    <x v="632"/>
    <x v="14"/>
    <x v="9"/>
    <n v="20.6"/>
    <n v="103"/>
    <x v="27"/>
    <d v="2025-01-29T00:00:00"/>
    <x v="1"/>
    <x v="2"/>
    <x v="2"/>
    <x v="0"/>
    <x v="3"/>
    <x v="3"/>
    <x v="4"/>
    <x v="1"/>
  </r>
  <r>
    <x v="633"/>
    <x v="17"/>
    <x v="2"/>
    <n v="67.900000000000006"/>
    <n v="203.70000000000002"/>
    <x v="27"/>
    <d v="2025-01-29T00:00:00"/>
    <x v="2"/>
    <x v="1"/>
    <x v="1"/>
    <x v="0"/>
    <x v="3"/>
    <x v="3"/>
    <x v="4"/>
    <x v="2"/>
  </r>
  <r>
    <x v="634"/>
    <x v="0"/>
    <x v="9"/>
    <n v="27"/>
    <n v="135"/>
    <x v="27"/>
    <d v="2025-02-04T00:00:00"/>
    <x v="2"/>
    <x v="0"/>
    <x v="2"/>
    <x v="0"/>
    <x v="3"/>
    <x v="6"/>
    <x v="4"/>
    <x v="2"/>
  </r>
  <r>
    <x v="635"/>
    <x v="13"/>
    <x v="0"/>
    <n v="50.6"/>
    <n v="50.6"/>
    <x v="27"/>
    <d v="2025-01-28T00:00:00"/>
    <x v="1"/>
    <x v="0"/>
    <x v="1"/>
    <x v="0"/>
    <x v="3"/>
    <x v="7"/>
    <x v="4"/>
    <x v="1"/>
  </r>
  <r>
    <x v="636"/>
    <x v="4"/>
    <x v="9"/>
    <n v="22.1"/>
    <n v="110.5"/>
    <x v="27"/>
    <d v="2025-02-02T00:00:00"/>
    <x v="1"/>
    <x v="0"/>
    <x v="0"/>
    <x v="0"/>
    <x v="3"/>
    <x v="0"/>
    <x v="4"/>
    <x v="1"/>
  </r>
  <r>
    <x v="637"/>
    <x v="8"/>
    <x v="2"/>
    <n v="42.9"/>
    <n v="128.69999999999999"/>
    <x v="27"/>
    <d v="2025-01-30T00:00:00"/>
    <x v="2"/>
    <x v="0"/>
    <x v="0"/>
    <x v="0"/>
    <x v="3"/>
    <x v="1"/>
    <x v="4"/>
    <x v="2"/>
  </r>
  <r>
    <x v="638"/>
    <x v="1"/>
    <x v="5"/>
    <n v="62.4"/>
    <n v="686.4"/>
    <x v="27"/>
    <d v="2025-01-30T00:00:00"/>
    <x v="2"/>
    <x v="2"/>
    <x v="0"/>
    <x v="0"/>
    <x v="3"/>
    <x v="1"/>
    <x v="4"/>
    <x v="2"/>
  </r>
  <r>
    <x v="639"/>
    <x v="13"/>
    <x v="11"/>
    <n v="36.4"/>
    <n v="327.59999999999997"/>
    <x v="27"/>
    <d v="2025-01-30T00:00:00"/>
    <x v="2"/>
    <x v="0"/>
    <x v="2"/>
    <x v="0"/>
    <x v="3"/>
    <x v="1"/>
    <x v="4"/>
    <x v="2"/>
  </r>
  <r>
    <x v="640"/>
    <x v="0"/>
    <x v="1"/>
    <n v="22.5"/>
    <n v="45"/>
    <x v="27"/>
    <d v="2025-01-31T00:00:00"/>
    <x v="1"/>
    <x v="0"/>
    <x v="0"/>
    <x v="0"/>
    <x v="3"/>
    <x v="2"/>
    <x v="4"/>
    <x v="1"/>
  </r>
  <r>
    <x v="641"/>
    <x v="6"/>
    <x v="12"/>
    <n v="70.8"/>
    <n v="283.2"/>
    <x v="27"/>
    <d v="2025-01-30T00:00:00"/>
    <x v="2"/>
    <x v="4"/>
    <x v="0"/>
    <x v="0"/>
    <x v="3"/>
    <x v="1"/>
    <x v="4"/>
    <x v="2"/>
  </r>
  <r>
    <x v="642"/>
    <x v="6"/>
    <x v="9"/>
    <n v="56.6"/>
    <n v="283"/>
    <x v="27"/>
    <d v="2025-01-30T00:00:00"/>
    <x v="1"/>
    <x v="0"/>
    <x v="1"/>
    <x v="0"/>
    <x v="4"/>
    <x v="1"/>
    <x v="4"/>
    <x v="1"/>
  </r>
  <r>
    <x v="643"/>
    <x v="6"/>
    <x v="1"/>
    <n v="47.9"/>
    <n v="95.8"/>
    <x v="27"/>
    <d v="2025-01-29T00:00:00"/>
    <x v="2"/>
    <x v="0"/>
    <x v="0"/>
    <x v="0"/>
    <x v="6"/>
    <x v="3"/>
    <x v="4"/>
    <x v="2"/>
  </r>
  <r>
    <x v="644"/>
    <x v="6"/>
    <x v="8"/>
    <n v="78.400000000000006"/>
    <n v="627.20000000000005"/>
    <x v="27"/>
    <d v="2025-01-30T00:00:00"/>
    <x v="2"/>
    <x v="1"/>
    <x v="0"/>
    <x v="0"/>
    <x v="6"/>
    <x v="1"/>
    <x v="4"/>
    <x v="2"/>
  </r>
  <r>
    <x v="645"/>
    <x v="2"/>
    <x v="21"/>
    <n v="122.1"/>
    <n v="1709.3999999999999"/>
    <x v="27"/>
    <d v="2025-02-02T00:00:00"/>
    <x v="2"/>
    <x v="0"/>
    <x v="2"/>
    <x v="0"/>
    <x v="6"/>
    <x v="0"/>
    <x v="4"/>
    <x v="2"/>
  </r>
  <r>
    <x v="646"/>
    <x v="2"/>
    <x v="1"/>
    <n v="83.7"/>
    <n v="167.4"/>
    <x v="28"/>
    <d v="2025-01-29T00:00:00"/>
    <x v="0"/>
    <x v="1"/>
    <x v="2"/>
    <x v="0"/>
    <x v="7"/>
    <x v="7"/>
    <x v="4"/>
    <x v="0"/>
  </r>
  <r>
    <x v="647"/>
    <x v="3"/>
    <x v="12"/>
    <n v="97.9"/>
    <n v="391.6"/>
    <x v="28"/>
    <d v="2025-02-02T00:00:00"/>
    <x v="2"/>
    <x v="3"/>
    <x v="2"/>
    <x v="0"/>
    <x v="7"/>
    <x v="5"/>
    <x v="4"/>
    <x v="2"/>
  </r>
  <r>
    <x v="648"/>
    <x v="14"/>
    <x v="0"/>
    <n v="15"/>
    <n v="15"/>
    <x v="28"/>
    <d v="2025-02-03T00:00:00"/>
    <x v="2"/>
    <x v="3"/>
    <x v="0"/>
    <x v="0"/>
    <x v="8"/>
    <x v="0"/>
    <x v="4"/>
    <x v="2"/>
  </r>
  <r>
    <x v="649"/>
    <x v="12"/>
    <x v="2"/>
    <n v="94.6"/>
    <n v="283.79999999999995"/>
    <x v="28"/>
    <d v="2025-01-30T00:00:00"/>
    <x v="1"/>
    <x v="2"/>
    <x v="1"/>
    <x v="0"/>
    <x v="8"/>
    <x v="3"/>
    <x v="4"/>
    <x v="1"/>
  </r>
  <r>
    <x v="650"/>
    <x v="0"/>
    <x v="13"/>
    <n v="19.7"/>
    <n v="118.19999999999999"/>
    <x v="28"/>
    <d v="2025-02-09T00:00:00"/>
    <x v="2"/>
    <x v="0"/>
    <x v="2"/>
    <x v="0"/>
    <x v="8"/>
    <x v="11"/>
    <x v="4"/>
    <x v="2"/>
  </r>
  <r>
    <x v="651"/>
    <x v="7"/>
    <x v="0"/>
    <n v="46.7"/>
    <n v="46.7"/>
    <x v="28"/>
    <d v="2025-02-01T00:00:00"/>
    <x v="2"/>
    <x v="2"/>
    <x v="0"/>
    <x v="0"/>
    <x v="17"/>
    <x v="2"/>
    <x v="4"/>
    <x v="2"/>
  </r>
  <r>
    <x v="652"/>
    <x v="1"/>
    <x v="12"/>
    <n v="43"/>
    <n v="172"/>
    <x v="28"/>
    <d v="2025-01-30T00:00:00"/>
    <x v="1"/>
    <x v="2"/>
    <x v="2"/>
    <x v="0"/>
    <x v="17"/>
    <x v="3"/>
    <x v="4"/>
    <x v="1"/>
  </r>
  <r>
    <x v="653"/>
    <x v="6"/>
    <x v="2"/>
    <n v="68.2"/>
    <n v="204.60000000000002"/>
    <x v="28"/>
    <d v="2025-02-04T00:00:00"/>
    <x v="2"/>
    <x v="0"/>
    <x v="0"/>
    <x v="0"/>
    <x v="9"/>
    <x v="4"/>
    <x v="4"/>
    <x v="2"/>
  </r>
  <r>
    <x v="654"/>
    <x v="10"/>
    <x v="7"/>
    <n v="24.3"/>
    <n v="243"/>
    <x v="28"/>
    <d v="2025-01-30T00:00:00"/>
    <x v="1"/>
    <x v="0"/>
    <x v="2"/>
    <x v="0"/>
    <x v="10"/>
    <x v="3"/>
    <x v="4"/>
    <x v="1"/>
  </r>
  <r>
    <x v="655"/>
    <x v="7"/>
    <x v="1"/>
    <n v="86.8"/>
    <n v="173.6"/>
    <x v="28"/>
    <d v="2025-02-02T00:00:00"/>
    <x v="2"/>
    <x v="4"/>
    <x v="2"/>
    <x v="0"/>
    <x v="11"/>
    <x v="5"/>
    <x v="4"/>
    <x v="2"/>
  </r>
  <r>
    <x v="656"/>
    <x v="0"/>
    <x v="1"/>
    <n v="15.8"/>
    <n v="31.6"/>
    <x v="28"/>
    <d v="2025-01-31T00:00:00"/>
    <x v="1"/>
    <x v="1"/>
    <x v="0"/>
    <x v="0"/>
    <x v="11"/>
    <x v="1"/>
    <x v="4"/>
    <x v="1"/>
  </r>
  <r>
    <x v="657"/>
    <x v="2"/>
    <x v="12"/>
    <n v="61.6"/>
    <n v="246.4"/>
    <x v="28"/>
    <d v="2025-01-30T00:00:00"/>
    <x v="1"/>
    <x v="2"/>
    <x v="0"/>
    <x v="0"/>
    <x v="11"/>
    <x v="3"/>
    <x v="4"/>
    <x v="1"/>
  </r>
  <r>
    <x v="658"/>
    <x v="6"/>
    <x v="2"/>
    <n v="48.7"/>
    <n v="146.10000000000002"/>
    <x v="28"/>
    <d v="2025-02-04T00:00:00"/>
    <x v="2"/>
    <x v="1"/>
    <x v="2"/>
    <x v="0"/>
    <x v="45"/>
    <x v="4"/>
    <x v="4"/>
    <x v="2"/>
  </r>
  <r>
    <x v="659"/>
    <x v="8"/>
    <x v="12"/>
    <n v="24.3"/>
    <n v="97.2"/>
    <x v="28"/>
    <d v="2025-01-31T00:00:00"/>
    <x v="2"/>
    <x v="1"/>
    <x v="2"/>
    <x v="0"/>
    <x v="21"/>
    <x v="1"/>
    <x v="4"/>
    <x v="2"/>
  </r>
  <r>
    <x v="660"/>
    <x v="2"/>
    <x v="1"/>
    <n v="130.69999999999999"/>
    <n v="261.39999999999998"/>
    <x v="28"/>
    <d v="2025-01-30T00:00:00"/>
    <x v="2"/>
    <x v="2"/>
    <x v="0"/>
    <x v="0"/>
    <x v="44"/>
    <x v="3"/>
    <x v="4"/>
    <x v="2"/>
  </r>
  <r>
    <x v="661"/>
    <x v="10"/>
    <x v="0"/>
    <n v="26"/>
    <n v="26"/>
    <x v="28"/>
    <d v="2025-01-31T00:00:00"/>
    <x v="1"/>
    <x v="0"/>
    <x v="0"/>
    <x v="0"/>
    <x v="3"/>
    <x v="1"/>
    <x v="4"/>
    <x v="1"/>
  </r>
  <r>
    <x v="662"/>
    <x v="2"/>
    <x v="9"/>
    <n v="94.4"/>
    <n v="472"/>
    <x v="28"/>
    <d v="2025-01-30T00:00:00"/>
    <x v="2"/>
    <x v="0"/>
    <x v="0"/>
    <x v="0"/>
    <x v="3"/>
    <x v="3"/>
    <x v="4"/>
    <x v="2"/>
  </r>
  <r>
    <x v="663"/>
    <x v="0"/>
    <x v="13"/>
    <n v="23.7"/>
    <n v="142.19999999999999"/>
    <x v="28"/>
    <d v="2025-01-31T00:00:00"/>
    <x v="1"/>
    <x v="2"/>
    <x v="2"/>
    <x v="0"/>
    <x v="3"/>
    <x v="1"/>
    <x v="4"/>
    <x v="1"/>
  </r>
  <r>
    <x v="664"/>
    <x v="9"/>
    <x v="4"/>
    <n v="37.4"/>
    <n v="448.79999999999995"/>
    <x v="28"/>
    <d v="2025-01-31T00:00:00"/>
    <x v="1"/>
    <x v="2"/>
    <x v="0"/>
    <x v="0"/>
    <x v="3"/>
    <x v="1"/>
    <x v="4"/>
    <x v="1"/>
  </r>
  <r>
    <x v="665"/>
    <x v="1"/>
    <x v="34"/>
    <n v="55.2"/>
    <n v="1987.2"/>
    <x v="28"/>
    <d v="2025-01-29T00:00:00"/>
    <x v="2"/>
    <x v="3"/>
    <x v="1"/>
    <x v="0"/>
    <x v="3"/>
    <x v="7"/>
    <x v="4"/>
    <x v="2"/>
  </r>
  <r>
    <x v="666"/>
    <x v="2"/>
    <x v="11"/>
    <n v="57.1"/>
    <n v="513.9"/>
    <x v="28"/>
    <d v="2025-01-31T00:00:00"/>
    <x v="1"/>
    <x v="0"/>
    <x v="2"/>
    <x v="0"/>
    <x v="3"/>
    <x v="1"/>
    <x v="4"/>
    <x v="1"/>
  </r>
  <r>
    <x v="667"/>
    <x v="12"/>
    <x v="0"/>
    <n v="55.3"/>
    <n v="55.3"/>
    <x v="28"/>
    <d v="2025-01-30T00:00:00"/>
    <x v="2"/>
    <x v="2"/>
    <x v="2"/>
    <x v="0"/>
    <x v="3"/>
    <x v="3"/>
    <x v="4"/>
    <x v="2"/>
  </r>
  <r>
    <x v="668"/>
    <x v="15"/>
    <x v="3"/>
    <n v="23.9"/>
    <n v="167.29999999999998"/>
    <x v="28"/>
    <d v="2025-01-30T00:00:00"/>
    <x v="2"/>
    <x v="4"/>
    <x v="1"/>
    <x v="0"/>
    <x v="3"/>
    <x v="3"/>
    <x v="4"/>
    <x v="2"/>
  </r>
  <r>
    <x v="669"/>
    <x v="0"/>
    <x v="0"/>
    <n v="34.1"/>
    <n v="34.1"/>
    <x v="28"/>
    <d v="2025-02-05T00:00:00"/>
    <x v="2"/>
    <x v="2"/>
    <x v="0"/>
    <x v="0"/>
    <x v="3"/>
    <x v="6"/>
    <x v="4"/>
    <x v="2"/>
  </r>
  <r>
    <x v="670"/>
    <x v="12"/>
    <x v="12"/>
    <n v="38.5"/>
    <n v="154"/>
    <x v="28"/>
    <d v="2025-02-09T00:00:00"/>
    <x v="2"/>
    <x v="0"/>
    <x v="0"/>
    <x v="0"/>
    <x v="3"/>
    <x v="11"/>
    <x v="4"/>
    <x v="2"/>
  </r>
  <r>
    <x v="671"/>
    <x v="7"/>
    <x v="1"/>
    <n v="105"/>
    <n v="210"/>
    <x v="28"/>
    <d v="2025-02-04T00:00:00"/>
    <x v="2"/>
    <x v="0"/>
    <x v="2"/>
    <x v="0"/>
    <x v="3"/>
    <x v="4"/>
    <x v="4"/>
    <x v="2"/>
  </r>
  <r>
    <x v="672"/>
    <x v="8"/>
    <x v="9"/>
    <n v="45.2"/>
    <n v="226"/>
    <x v="28"/>
    <d v="2025-01-31T00:00:00"/>
    <x v="2"/>
    <x v="0"/>
    <x v="2"/>
    <x v="0"/>
    <x v="3"/>
    <x v="1"/>
    <x v="4"/>
    <x v="2"/>
  </r>
  <r>
    <x v="673"/>
    <x v="17"/>
    <x v="2"/>
    <n v="24.8"/>
    <n v="74.400000000000006"/>
    <x v="28"/>
    <d v="2025-01-29T00:00:00"/>
    <x v="0"/>
    <x v="0"/>
    <x v="1"/>
    <x v="0"/>
    <x v="3"/>
    <x v="7"/>
    <x v="4"/>
    <x v="0"/>
  </r>
  <r>
    <x v="674"/>
    <x v="11"/>
    <x v="12"/>
    <n v="43.8"/>
    <n v="175.2"/>
    <x v="28"/>
    <d v="2025-02-05T00:00:00"/>
    <x v="2"/>
    <x v="1"/>
    <x v="2"/>
    <x v="0"/>
    <x v="6"/>
    <x v="6"/>
    <x v="4"/>
    <x v="2"/>
  </r>
  <r>
    <x v="675"/>
    <x v="1"/>
    <x v="0"/>
    <n v="75"/>
    <n v="75"/>
    <x v="28"/>
    <d v="2025-01-31T00:00:00"/>
    <x v="2"/>
    <x v="4"/>
    <x v="1"/>
    <x v="0"/>
    <x v="6"/>
    <x v="1"/>
    <x v="4"/>
    <x v="2"/>
  </r>
  <r>
    <x v="676"/>
    <x v="2"/>
    <x v="0"/>
    <n v="169.9"/>
    <n v="169.9"/>
    <x v="28"/>
    <d v="2025-01-30T00:00:00"/>
    <x v="1"/>
    <x v="2"/>
    <x v="0"/>
    <x v="0"/>
    <x v="6"/>
    <x v="3"/>
    <x v="4"/>
    <x v="1"/>
  </r>
  <r>
    <x v="677"/>
    <x v="9"/>
    <x v="1"/>
    <n v="72.2"/>
    <n v="144.4"/>
    <x v="28"/>
    <d v="2025-01-31T00:00:00"/>
    <x v="2"/>
    <x v="4"/>
    <x v="1"/>
    <x v="0"/>
    <x v="6"/>
    <x v="1"/>
    <x v="4"/>
    <x v="2"/>
  </r>
  <r>
    <x v="678"/>
    <x v="0"/>
    <x v="0"/>
    <n v="20"/>
    <n v="20"/>
    <x v="29"/>
    <d v="2025-02-02T00:00:00"/>
    <x v="2"/>
    <x v="2"/>
    <x v="1"/>
    <x v="0"/>
    <x v="7"/>
    <x v="2"/>
    <x v="4"/>
    <x v="2"/>
  </r>
  <r>
    <x v="679"/>
    <x v="9"/>
    <x v="1"/>
    <n v="40.799999999999997"/>
    <n v="81.599999999999994"/>
    <x v="29"/>
    <d v="2025-02-01T00:00:00"/>
    <x v="2"/>
    <x v="3"/>
    <x v="2"/>
    <x v="0"/>
    <x v="8"/>
    <x v="1"/>
    <x v="4"/>
    <x v="2"/>
  </r>
  <r>
    <x v="680"/>
    <x v="10"/>
    <x v="12"/>
    <n v="58"/>
    <n v="232"/>
    <x v="29"/>
    <d v="2025-02-03T00:00:00"/>
    <x v="2"/>
    <x v="0"/>
    <x v="0"/>
    <x v="0"/>
    <x v="8"/>
    <x v="5"/>
    <x v="4"/>
    <x v="2"/>
  </r>
  <r>
    <x v="681"/>
    <x v="12"/>
    <x v="1"/>
    <n v="43.1"/>
    <n v="86.2"/>
    <x v="29"/>
    <d v="2025-01-31T00:00:00"/>
    <x v="2"/>
    <x v="1"/>
    <x v="2"/>
    <x v="0"/>
    <x v="8"/>
    <x v="3"/>
    <x v="4"/>
    <x v="2"/>
  </r>
  <r>
    <x v="682"/>
    <x v="6"/>
    <x v="11"/>
    <n v="74.7"/>
    <n v="672.30000000000007"/>
    <x v="29"/>
    <d v="2025-02-01T00:00:00"/>
    <x v="1"/>
    <x v="0"/>
    <x v="2"/>
    <x v="0"/>
    <x v="8"/>
    <x v="1"/>
    <x v="4"/>
    <x v="1"/>
  </r>
  <r>
    <x v="683"/>
    <x v="6"/>
    <x v="0"/>
    <n v="128.19999999999999"/>
    <n v="128.19999999999999"/>
    <x v="29"/>
    <d v="2025-01-30T00:00:00"/>
    <x v="1"/>
    <x v="1"/>
    <x v="0"/>
    <x v="0"/>
    <x v="8"/>
    <x v="7"/>
    <x v="4"/>
    <x v="1"/>
  </r>
  <r>
    <x v="684"/>
    <x v="14"/>
    <x v="12"/>
    <n v="26.7"/>
    <n v="106.8"/>
    <x v="29"/>
    <d v="2025-01-31T00:00:00"/>
    <x v="1"/>
    <x v="1"/>
    <x v="0"/>
    <x v="0"/>
    <x v="8"/>
    <x v="3"/>
    <x v="4"/>
    <x v="1"/>
  </r>
  <r>
    <x v="685"/>
    <x v="17"/>
    <x v="13"/>
    <n v="31.5"/>
    <n v="189"/>
    <x v="29"/>
    <d v="2025-01-31T00:00:00"/>
    <x v="2"/>
    <x v="2"/>
    <x v="0"/>
    <x v="0"/>
    <x v="17"/>
    <x v="3"/>
    <x v="4"/>
    <x v="2"/>
  </r>
  <r>
    <x v="686"/>
    <x v="3"/>
    <x v="3"/>
    <n v="64.7"/>
    <n v="452.90000000000003"/>
    <x v="29"/>
    <d v="2025-01-31T00:00:00"/>
    <x v="2"/>
    <x v="0"/>
    <x v="2"/>
    <x v="0"/>
    <x v="9"/>
    <x v="3"/>
    <x v="4"/>
    <x v="2"/>
  </r>
  <r>
    <x v="687"/>
    <x v="5"/>
    <x v="1"/>
    <n v="55.6"/>
    <n v="111.2"/>
    <x v="29"/>
    <d v="2025-02-02T00:00:00"/>
    <x v="2"/>
    <x v="3"/>
    <x v="0"/>
    <x v="0"/>
    <x v="11"/>
    <x v="2"/>
    <x v="4"/>
    <x v="2"/>
  </r>
  <r>
    <x v="688"/>
    <x v="3"/>
    <x v="1"/>
    <n v="36.200000000000003"/>
    <n v="72.400000000000006"/>
    <x v="29"/>
    <d v="2025-01-31T00:00:00"/>
    <x v="2"/>
    <x v="3"/>
    <x v="0"/>
    <x v="0"/>
    <x v="11"/>
    <x v="3"/>
    <x v="4"/>
    <x v="2"/>
  </r>
  <r>
    <x v="689"/>
    <x v="0"/>
    <x v="0"/>
    <n v="26.6"/>
    <n v="26.6"/>
    <x v="29"/>
    <d v="2025-01-31T00:00:00"/>
    <x v="0"/>
    <x v="1"/>
    <x v="1"/>
    <x v="0"/>
    <x v="19"/>
    <x v="3"/>
    <x v="4"/>
    <x v="0"/>
  </r>
  <r>
    <x v="690"/>
    <x v="10"/>
    <x v="12"/>
    <n v="31.5"/>
    <n v="126"/>
    <x v="29"/>
    <d v="2025-02-01T00:00:00"/>
    <x v="1"/>
    <x v="0"/>
    <x v="0"/>
    <x v="0"/>
    <x v="31"/>
    <x v="1"/>
    <x v="4"/>
    <x v="1"/>
  </r>
  <r>
    <x v="691"/>
    <x v="10"/>
    <x v="0"/>
    <n v="27"/>
    <n v="27"/>
    <x v="29"/>
    <d v="2025-02-01T00:00:00"/>
    <x v="2"/>
    <x v="1"/>
    <x v="2"/>
    <x v="0"/>
    <x v="13"/>
    <x v="1"/>
    <x v="4"/>
    <x v="2"/>
  </r>
  <r>
    <x v="692"/>
    <x v="4"/>
    <x v="0"/>
    <n v="32"/>
    <n v="32"/>
    <x v="29"/>
    <d v="2025-02-02T00:00:00"/>
    <x v="1"/>
    <x v="3"/>
    <x v="0"/>
    <x v="0"/>
    <x v="21"/>
    <x v="2"/>
    <x v="4"/>
    <x v="1"/>
  </r>
  <r>
    <x v="693"/>
    <x v="1"/>
    <x v="2"/>
    <n v="48.1"/>
    <n v="144.30000000000001"/>
    <x v="29"/>
    <d v="2025-02-01T00:00:00"/>
    <x v="1"/>
    <x v="2"/>
    <x v="1"/>
    <x v="0"/>
    <x v="1"/>
    <x v="1"/>
    <x v="4"/>
    <x v="1"/>
  </r>
  <r>
    <x v="694"/>
    <x v="9"/>
    <x v="1"/>
    <n v="43.4"/>
    <n v="86.8"/>
    <x v="29"/>
    <d v="2025-01-31T00:00:00"/>
    <x v="1"/>
    <x v="1"/>
    <x v="1"/>
    <x v="0"/>
    <x v="22"/>
    <x v="3"/>
    <x v="4"/>
    <x v="1"/>
  </r>
  <r>
    <x v="695"/>
    <x v="6"/>
    <x v="1"/>
    <n v="42.6"/>
    <n v="85.2"/>
    <x v="29"/>
    <d v="2025-02-02T00:00:00"/>
    <x v="2"/>
    <x v="3"/>
    <x v="0"/>
    <x v="0"/>
    <x v="22"/>
    <x v="2"/>
    <x v="4"/>
    <x v="2"/>
  </r>
  <r>
    <x v="696"/>
    <x v="8"/>
    <x v="1"/>
    <n v="15.9"/>
    <n v="31.8"/>
    <x v="29"/>
    <d v="2025-01-31T00:00:00"/>
    <x v="2"/>
    <x v="0"/>
    <x v="0"/>
    <x v="0"/>
    <x v="34"/>
    <x v="3"/>
    <x v="4"/>
    <x v="2"/>
  </r>
  <r>
    <x v="697"/>
    <x v="9"/>
    <x v="1"/>
    <n v="63.2"/>
    <n v="126.4"/>
    <x v="29"/>
    <d v="2025-01-31T00:00:00"/>
    <x v="1"/>
    <x v="1"/>
    <x v="0"/>
    <x v="0"/>
    <x v="3"/>
    <x v="3"/>
    <x v="4"/>
    <x v="1"/>
  </r>
  <r>
    <x v="698"/>
    <x v="7"/>
    <x v="12"/>
    <n v="64.8"/>
    <n v="259.2"/>
    <x v="29"/>
    <d v="2025-02-01T00:00:00"/>
    <x v="0"/>
    <x v="4"/>
    <x v="1"/>
    <x v="0"/>
    <x v="3"/>
    <x v="1"/>
    <x v="4"/>
    <x v="0"/>
  </r>
  <r>
    <x v="699"/>
    <x v="7"/>
    <x v="2"/>
    <n v="79.8"/>
    <n v="239.39999999999998"/>
    <x v="29"/>
    <d v="2025-01-31T00:00:00"/>
    <x v="1"/>
    <x v="0"/>
    <x v="0"/>
    <x v="0"/>
    <x v="3"/>
    <x v="3"/>
    <x v="4"/>
    <x v="1"/>
  </r>
  <r>
    <x v="700"/>
    <x v="9"/>
    <x v="0"/>
    <n v="54.4"/>
    <n v="54.4"/>
    <x v="29"/>
    <d v="2025-02-01T00:00:00"/>
    <x v="2"/>
    <x v="4"/>
    <x v="2"/>
    <x v="0"/>
    <x v="3"/>
    <x v="1"/>
    <x v="4"/>
    <x v="2"/>
  </r>
  <r>
    <x v="701"/>
    <x v="6"/>
    <x v="0"/>
    <n v="87.3"/>
    <n v="87.3"/>
    <x v="29"/>
    <d v="2025-01-31T00:00:00"/>
    <x v="1"/>
    <x v="1"/>
    <x v="0"/>
    <x v="0"/>
    <x v="3"/>
    <x v="3"/>
    <x v="4"/>
    <x v="1"/>
  </r>
  <r>
    <x v="702"/>
    <x v="8"/>
    <x v="12"/>
    <n v="32.4"/>
    <n v="129.6"/>
    <x v="29"/>
    <d v="2025-01-30T00:00:00"/>
    <x v="1"/>
    <x v="1"/>
    <x v="0"/>
    <x v="0"/>
    <x v="3"/>
    <x v="7"/>
    <x v="4"/>
    <x v="1"/>
  </r>
  <r>
    <x v="703"/>
    <x v="2"/>
    <x v="0"/>
    <n v="177.4"/>
    <n v="177.4"/>
    <x v="29"/>
    <d v="2025-02-03T00:00:00"/>
    <x v="1"/>
    <x v="0"/>
    <x v="2"/>
    <x v="0"/>
    <x v="3"/>
    <x v="5"/>
    <x v="4"/>
    <x v="1"/>
  </r>
  <r>
    <x v="704"/>
    <x v="7"/>
    <x v="1"/>
    <n v="70.099999999999994"/>
    <n v="140.19999999999999"/>
    <x v="29"/>
    <d v="2025-01-31T00:00:00"/>
    <x v="1"/>
    <x v="3"/>
    <x v="1"/>
    <x v="0"/>
    <x v="3"/>
    <x v="3"/>
    <x v="4"/>
    <x v="1"/>
  </r>
  <r>
    <x v="705"/>
    <x v="9"/>
    <x v="13"/>
    <n v="51.1"/>
    <n v="306.60000000000002"/>
    <x v="29"/>
    <d v="2025-01-31T00:00:00"/>
    <x v="2"/>
    <x v="0"/>
    <x v="0"/>
    <x v="0"/>
    <x v="3"/>
    <x v="3"/>
    <x v="4"/>
    <x v="2"/>
  </r>
  <r>
    <x v="706"/>
    <x v="2"/>
    <x v="9"/>
    <n v="79.900000000000006"/>
    <n v="399.5"/>
    <x v="29"/>
    <d v="2025-02-01T00:00:00"/>
    <x v="1"/>
    <x v="3"/>
    <x v="2"/>
    <x v="0"/>
    <x v="24"/>
    <x v="1"/>
    <x v="4"/>
    <x v="1"/>
  </r>
  <r>
    <x v="707"/>
    <x v="6"/>
    <x v="0"/>
    <n v="57.6"/>
    <n v="57.6"/>
    <x v="30"/>
    <d v="2025-02-05T00:00:00"/>
    <x v="1"/>
    <x v="0"/>
    <x v="2"/>
    <x v="0"/>
    <x v="49"/>
    <x v="0"/>
    <x v="4"/>
    <x v="1"/>
  </r>
  <r>
    <x v="708"/>
    <x v="8"/>
    <x v="7"/>
    <n v="59.7"/>
    <n v="597"/>
    <x v="30"/>
    <d v="2025-02-04T00:00:00"/>
    <x v="1"/>
    <x v="2"/>
    <x v="0"/>
    <x v="0"/>
    <x v="25"/>
    <x v="5"/>
    <x v="4"/>
    <x v="1"/>
  </r>
  <r>
    <x v="709"/>
    <x v="8"/>
    <x v="9"/>
    <n v="30"/>
    <n v="150"/>
    <x v="30"/>
    <d v="2025-02-02T00:00:00"/>
    <x v="1"/>
    <x v="1"/>
    <x v="0"/>
    <x v="0"/>
    <x v="6"/>
    <x v="1"/>
    <x v="4"/>
    <x v="1"/>
  </r>
  <r>
    <x v="710"/>
    <x v="10"/>
    <x v="1"/>
    <n v="69.2"/>
    <n v="138.4"/>
    <x v="30"/>
    <d v="2025-02-02T00:00:00"/>
    <x v="0"/>
    <x v="2"/>
    <x v="1"/>
    <x v="0"/>
    <x v="6"/>
    <x v="1"/>
    <x v="4"/>
    <x v="0"/>
  </r>
  <r>
    <x v="711"/>
    <x v="0"/>
    <x v="8"/>
    <n v="10.9"/>
    <n v="87.2"/>
    <x v="30"/>
    <d v="2025-02-01T00:00:00"/>
    <x v="2"/>
    <x v="0"/>
    <x v="2"/>
    <x v="0"/>
    <x v="6"/>
    <x v="3"/>
    <x v="4"/>
    <x v="2"/>
  </r>
  <r>
    <x v="712"/>
    <x v="16"/>
    <x v="1"/>
    <n v="48.6"/>
    <n v="97.2"/>
    <x v="30"/>
    <d v="2025-02-04T00:00:00"/>
    <x v="1"/>
    <x v="1"/>
    <x v="2"/>
    <x v="0"/>
    <x v="6"/>
    <x v="5"/>
    <x v="4"/>
    <x v="1"/>
  </r>
  <r>
    <x v="713"/>
    <x v="2"/>
    <x v="1"/>
    <n v="61.1"/>
    <n v="122.2"/>
    <x v="30"/>
    <d v="2025-02-03T00:00:00"/>
    <x v="2"/>
    <x v="1"/>
    <x v="2"/>
    <x v="0"/>
    <x v="7"/>
    <x v="2"/>
    <x v="4"/>
    <x v="2"/>
  </r>
  <r>
    <x v="714"/>
    <x v="8"/>
    <x v="1"/>
    <n v="23.2"/>
    <n v="46.4"/>
    <x v="30"/>
    <d v="2025-02-01T00:00:00"/>
    <x v="1"/>
    <x v="3"/>
    <x v="2"/>
    <x v="0"/>
    <x v="8"/>
    <x v="3"/>
    <x v="4"/>
    <x v="1"/>
  </r>
  <r>
    <x v="715"/>
    <x v="12"/>
    <x v="12"/>
    <n v="55.8"/>
    <n v="223.2"/>
    <x v="30"/>
    <d v="2025-02-01T00:00:00"/>
    <x v="1"/>
    <x v="0"/>
    <x v="0"/>
    <x v="0"/>
    <x v="8"/>
    <x v="3"/>
    <x v="4"/>
    <x v="1"/>
  </r>
  <r>
    <x v="716"/>
    <x v="9"/>
    <x v="12"/>
    <n v="24.8"/>
    <n v="99.2"/>
    <x v="30"/>
    <d v="2025-02-01T00:00:00"/>
    <x v="2"/>
    <x v="0"/>
    <x v="2"/>
    <x v="0"/>
    <x v="8"/>
    <x v="3"/>
    <x v="4"/>
    <x v="2"/>
  </r>
  <r>
    <x v="717"/>
    <x v="10"/>
    <x v="1"/>
    <n v="27.9"/>
    <n v="55.8"/>
    <x v="30"/>
    <d v="2025-01-31T00:00:00"/>
    <x v="1"/>
    <x v="2"/>
    <x v="2"/>
    <x v="0"/>
    <x v="8"/>
    <x v="7"/>
    <x v="4"/>
    <x v="1"/>
  </r>
  <r>
    <x v="718"/>
    <x v="10"/>
    <x v="13"/>
    <n v="51.1"/>
    <n v="306.60000000000002"/>
    <x v="30"/>
    <d v="2025-01-31T00:00:00"/>
    <x v="2"/>
    <x v="3"/>
    <x v="0"/>
    <x v="0"/>
    <x v="8"/>
    <x v="7"/>
    <x v="4"/>
    <x v="2"/>
  </r>
  <r>
    <x v="719"/>
    <x v="17"/>
    <x v="5"/>
    <n v="32.700000000000003"/>
    <n v="359.70000000000005"/>
    <x v="30"/>
    <d v="2025-02-01T00:00:00"/>
    <x v="1"/>
    <x v="4"/>
    <x v="2"/>
    <x v="0"/>
    <x v="17"/>
    <x v="3"/>
    <x v="4"/>
    <x v="1"/>
  </r>
  <r>
    <x v="720"/>
    <x v="8"/>
    <x v="12"/>
    <n v="22.5"/>
    <n v="90"/>
    <x v="30"/>
    <d v="2025-01-31T00:00:00"/>
    <x v="1"/>
    <x v="0"/>
    <x v="2"/>
    <x v="0"/>
    <x v="26"/>
    <x v="7"/>
    <x v="4"/>
    <x v="1"/>
  </r>
  <r>
    <x v="721"/>
    <x v="0"/>
    <x v="3"/>
    <n v="14.6"/>
    <n v="102.2"/>
    <x v="30"/>
    <d v="2025-02-01T00:00:00"/>
    <x v="2"/>
    <x v="2"/>
    <x v="0"/>
    <x v="0"/>
    <x v="41"/>
    <x v="3"/>
    <x v="4"/>
    <x v="2"/>
  </r>
  <r>
    <x v="722"/>
    <x v="5"/>
    <x v="2"/>
    <n v="32.5"/>
    <n v="97.5"/>
    <x v="30"/>
    <d v="2025-02-03T00:00:00"/>
    <x v="1"/>
    <x v="0"/>
    <x v="0"/>
    <x v="0"/>
    <x v="10"/>
    <x v="2"/>
    <x v="4"/>
    <x v="1"/>
  </r>
  <r>
    <x v="723"/>
    <x v="18"/>
    <x v="0"/>
    <n v="78.099999999999994"/>
    <n v="78.099999999999994"/>
    <x v="30"/>
    <d v="2025-02-03T00:00:00"/>
    <x v="1"/>
    <x v="0"/>
    <x v="2"/>
    <x v="0"/>
    <x v="11"/>
    <x v="2"/>
    <x v="4"/>
    <x v="1"/>
  </r>
  <r>
    <x v="724"/>
    <x v="12"/>
    <x v="13"/>
    <n v="110.2"/>
    <n v="661.2"/>
    <x v="30"/>
    <d v="2025-01-31T00:00:00"/>
    <x v="1"/>
    <x v="1"/>
    <x v="4"/>
    <x v="0"/>
    <x v="13"/>
    <x v="7"/>
    <x v="4"/>
    <x v="1"/>
  </r>
  <r>
    <x v="725"/>
    <x v="6"/>
    <x v="2"/>
    <n v="86.3"/>
    <n v="258.89999999999998"/>
    <x v="30"/>
    <d v="2025-02-02T00:00:00"/>
    <x v="2"/>
    <x v="3"/>
    <x v="0"/>
    <x v="0"/>
    <x v="21"/>
    <x v="1"/>
    <x v="4"/>
    <x v="2"/>
  </r>
  <r>
    <x v="726"/>
    <x v="1"/>
    <x v="13"/>
    <n v="73.599999999999994"/>
    <n v="441.59999999999997"/>
    <x v="30"/>
    <d v="2025-02-02T00:00:00"/>
    <x v="3"/>
    <x v="3"/>
    <x v="4"/>
    <x v="0"/>
    <x v="44"/>
    <x v="1"/>
    <x v="4"/>
    <x v="3"/>
  </r>
  <r>
    <x v="727"/>
    <x v="6"/>
    <x v="15"/>
    <n v="67.7"/>
    <n v="880.1"/>
    <x v="30"/>
    <d v="2025-02-02T00:00:00"/>
    <x v="2"/>
    <x v="0"/>
    <x v="2"/>
    <x v="0"/>
    <x v="3"/>
    <x v="1"/>
    <x v="4"/>
    <x v="2"/>
  </r>
  <r>
    <x v="728"/>
    <x v="7"/>
    <x v="13"/>
    <n v="142.19999999999999"/>
    <n v="853.19999999999993"/>
    <x v="30"/>
    <d v="2025-02-01T00:00:00"/>
    <x v="2"/>
    <x v="2"/>
    <x v="4"/>
    <x v="0"/>
    <x v="3"/>
    <x v="3"/>
    <x v="4"/>
    <x v="2"/>
  </r>
  <r>
    <x v="729"/>
    <x v="1"/>
    <x v="11"/>
    <n v="45.8"/>
    <n v="412.2"/>
    <x v="30"/>
    <d v="2025-02-02T00:00:00"/>
    <x v="2"/>
    <x v="1"/>
    <x v="2"/>
    <x v="0"/>
    <x v="3"/>
    <x v="1"/>
    <x v="4"/>
    <x v="2"/>
  </r>
  <r>
    <x v="730"/>
    <x v="10"/>
    <x v="1"/>
    <n v="24.2"/>
    <n v="48.4"/>
    <x v="31"/>
    <d v="2025-02-04T00:00:00"/>
    <x v="2"/>
    <x v="3"/>
    <x v="2"/>
    <x v="0"/>
    <x v="3"/>
    <x v="2"/>
    <x v="4"/>
    <x v="2"/>
  </r>
  <r>
    <x v="731"/>
    <x v="2"/>
    <x v="2"/>
    <n v="144.9"/>
    <n v="434.70000000000005"/>
    <x v="31"/>
    <d v="2025-02-02T00:00:00"/>
    <x v="3"/>
    <x v="2"/>
    <x v="2"/>
    <x v="0"/>
    <x v="3"/>
    <x v="3"/>
    <x v="4"/>
    <x v="3"/>
  </r>
  <r>
    <x v="732"/>
    <x v="11"/>
    <x v="9"/>
    <n v="32.799999999999997"/>
    <n v="164"/>
    <x v="31"/>
    <d v="2025-02-04T00:00:00"/>
    <x v="2"/>
    <x v="2"/>
    <x v="0"/>
    <x v="0"/>
    <x v="23"/>
    <x v="2"/>
    <x v="4"/>
    <x v="2"/>
  </r>
  <r>
    <x v="733"/>
    <x v="7"/>
    <x v="7"/>
    <n v="35.700000000000003"/>
    <n v="357"/>
    <x v="31"/>
    <d v="2025-02-01T00:00:00"/>
    <x v="2"/>
    <x v="0"/>
    <x v="1"/>
    <x v="0"/>
    <x v="6"/>
    <x v="7"/>
    <x v="4"/>
    <x v="2"/>
  </r>
  <r>
    <x v="734"/>
    <x v="9"/>
    <x v="1"/>
    <n v="54.6"/>
    <n v="109.2"/>
    <x v="31"/>
    <d v="2025-02-02T00:00:00"/>
    <x v="2"/>
    <x v="2"/>
    <x v="0"/>
    <x v="0"/>
    <x v="6"/>
    <x v="3"/>
    <x v="4"/>
    <x v="2"/>
  </r>
  <r>
    <x v="735"/>
    <x v="8"/>
    <x v="1"/>
    <n v="35.700000000000003"/>
    <n v="71.400000000000006"/>
    <x v="31"/>
    <d v="2025-02-04T00:00:00"/>
    <x v="0"/>
    <x v="0"/>
    <x v="1"/>
    <x v="0"/>
    <x v="6"/>
    <x v="2"/>
    <x v="4"/>
    <x v="0"/>
  </r>
  <r>
    <x v="736"/>
    <x v="10"/>
    <x v="1"/>
    <n v="52.4"/>
    <n v="104.8"/>
    <x v="31"/>
    <d v="2025-02-01T00:00:00"/>
    <x v="2"/>
    <x v="0"/>
    <x v="3"/>
    <x v="0"/>
    <x v="6"/>
    <x v="7"/>
    <x v="4"/>
    <x v="2"/>
  </r>
  <r>
    <x v="737"/>
    <x v="8"/>
    <x v="21"/>
    <n v="16.2"/>
    <n v="226.79999999999998"/>
    <x v="31"/>
    <d v="2025-02-02T00:00:00"/>
    <x v="0"/>
    <x v="0"/>
    <x v="1"/>
    <x v="0"/>
    <x v="8"/>
    <x v="3"/>
    <x v="4"/>
    <x v="0"/>
  </r>
  <r>
    <x v="738"/>
    <x v="6"/>
    <x v="35"/>
    <n v="42.8"/>
    <n v="2011.6"/>
    <x v="31"/>
    <d v="2025-02-02T00:00:00"/>
    <x v="2"/>
    <x v="0"/>
    <x v="0"/>
    <x v="0"/>
    <x v="8"/>
    <x v="3"/>
    <x v="4"/>
    <x v="2"/>
  </r>
  <r>
    <x v="739"/>
    <x v="6"/>
    <x v="11"/>
    <n v="144.4"/>
    <n v="1299.6000000000001"/>
    <x v="31"/>
    <d v="2025-02-04T00:00:00"/>
    <x v="2"/>
    <x v="4"/>
    <x v="0"/>
    <x v="0"/>
    <x v="8"/>
    <x v="2"/>
    <x v="4"/>
    <x v="2"/>
  </r>
  <r>
    <x v="740"/>
    <x v="3"/>
    <x v="34"/>
    <n v="30.6"/>
    <n v="1101.6000000000001"/>
    <x v="31"/>
    <d v="2025-02-05T00:00:00"/>
    <x v="2"/>
    <x v="2"/>
    <x v="2"/>
    <x v="0"/>
    <x v="11"/>
    <x v="5"/>
    <x v="4"/>
    <x v="2"/>
  </r>
  <r>
    <x v="741"/>
    <x v="2"/>
    <x v="1"/>
    <n v="117.5"/>
    <n v="235"/>
    <x v="31"/>
    <d v="2025-02-02T00:00:00"/>
    <x v="1"/>
    <x v="0"/>
    <x v="0"/>
    <x v="0"/>
    <x v="19"/>
    <x v="3"/>
    <x v="4"/>
    <x v="1"/>
  </r>
  <r>
    <x v="742"/>
    <x v="6"/>
    <x v="1"/>
    <n v="105.7"/>
    <n v="211.4"/>
    <x v="31"/>
    <d v="2025-02-02T00:00:00"/>
    <x v="2"/>
    <x v="2"/>
    <x v="2"/>
    <x v="0"/>
    <x v="21"/>
    <x v="3"/>
    <x v="4"/>
    <x v="2"/>
  </r>
  <r>
    <x v="743"/>
    <x v="3"/>
    <x v="2"/>
    <n v="133.69999999999999"/>
    <n v="401.09999999999997"/>
    <x v="31"/>
    <d v="2025-02-02T00:00:00"/>
    <x v="0"/>
    <x v="4"/>
    <x v="2"/>
    <x v="0"/>
    <x v="21"/>
    <x v="3"/>
    <x v="4"/>
    <x v="0"/>
  </r>
  <r>
    <x v="744"/>
    <x v="4"/>
    <x v="9"/>
    <n v="46.8"/>
    <n v="234"/>
    <x v="32"/>
    <d v="2025-02-10T00:00:00"/>
    <x v="2"/>
    <x v="0"/>
    <x v="1"/>
    <x v="0"/>
    <x v="21"/>
    <x v="9"/>
    <x v="5"/>
    <x v="2"/>
  </r>
  <r>
    <x v="745"/>
    <x v="10"/>
    <x v="2"/>
    <n v="58.4"/>
    <n v="175.2"/>
    <x v="32"/>
    <d v="2025-02-04T00:00:00"/>
    <x v="2"/>
    <x v="0"/>
    <x v="0"/>
    <x v="0"/>
    <x v="1"/>
    <x v="1"/>
    <x v="5"/>
    <x v="2"/>
  </r>
  <r>
    <x v="746"/>
    <x v="6"/>
    <x v="11"/>
    <n v="65.099999999999994"/>
    <n v="585.9"/>
    <x v="32"/>
    <d v="2025-02-06T00:00:00"/>
    <x v="1"/>
    <x v="1"/>
    <x v="2"/>
    <x v="0"/>
    <x v="22"/>
    <x v="5"/>
    <x v="5"/>
    <x v="1"/>
  </r>
  <r>
    <x v="747"/>
    <x v="8"/>
    <x v="0"/>
    <n v="18.600000000000001"/>
    <n v="18.600000000000001"/>
    <x v="32"/>
    <d v="2025-02-05T00:00:00"/>
    <x v="2"/>
    <x v="0"/>
    <x v="4"/>
    <x v="0"/>
    <x v="22"/>
    <x v="2"/>
    <x v="5"/>
    <x v="2"/>
  </r>
  <r>
    <x v="748"/>
    <x v="1"/>
    <x v="5"/>
    <n v="92.3"/>
    <n v="1015.3"/>
    <x v="32"/>
    <d v="2025-02-04T00:00:00"/>
    <x v="1"/>
    <x v="1"/>
    <x v="0"/>
    <x v="0"/>
    <x v="3"/>
    <x v="1"/>
    <x v="5"/>
    <x v="1"/>
  </r>
  <r>
    <x v="749"/>
    <x v="6"/>
    <x v="2"/>
    <n v="81.7"/>
    <n v="245.10000000000002"/>
    <x v="32"/>
    <d v="2025-02-03T00:00:00"/>
    <x v="0"/>
    <x v="4"/>
    <x v="4"/>
    <x v="0"/>
    <x v="3"/>
    <x v="3"/>
    <x v="5"/>
    <x v="0"/>
  </r>
  <r>
    <x v="750"/>
    <x v="8"/>
    <x v="1"/>
    <n v="40.9"/>
    <n v="81.8"/>
    <x v="32"/>
    <d v="2025-02-04T00:00:00"/>
    <x v="1"/>
    <x v="0"/>
    <x v="1"/>
    <x v="0"/>
    <x v="3"/>
    <x v="1"/>
    <x v="5"/>
    <x v="1"/>
  </r>
  <r>
    <x v="751"/>
    <x v="6"/>
    <x v="12"/>
    <n v="43.2"/>
    <n v="172.8"/>
    <x v="32"/>
    <d v="2025-02-08T00:00:00"/>
    <x v="2"/>
    <x v="0"/>
    <x v="1"/>
    <x v="0"/>
    <x v="3"/>
    <x v="4"/>
    <x v="5"/>
    <x v="2"/>
  </r>
  <r>
    <x v="752"/>
    <x v="8"/>
    <x v="5"/>
    <n v="25.8"/>
    <n v="283.8"/>
    <x v="32"/>
    <d v="2025-02-05T00:00:00"/>
    <x v="1"/>
    <x v="2"/>
    <x v="1"/>
    <x v="0"/>
    <x v="3"/>
    <x v="2"/>
    <x v="5"/>
    <x v="1"/>
  </r>
  <r>
    <x v="753"/>
    <x v="15"/>
    <x v="12"/>
    <n v="36.4"/>
    <n v="145.6"/>
    <x v="32"/>
    <d v="2025-02-03T00:00:00"/>
    <x v="1"/>
    <x v="0"/>
    <x v="0"/>
    <x v="0"/>
    <x v="3"/>
    <x v="3"/>
    <x v="5"/>
    <x v="1"/>
  </r>
  <r>
    <x v="754"/>
    <x v="10"/>
    <x v="0"/>
    <n v="59.1"/>
    <n v="59.1"/>
    <x v="32"/>
    <d v="2025-02-03T00:00:00"/>
    <x v="2"/>
    <x v="2"/>
    <x v="0"/>
    <x v="0"/>
    <x v="7"/>
    <x v="3"/>
    <x v="5"/>
    <x v="2"/>
  </r>
  <r>
    <x v="755"/>
    <x v="2"/>
    <x v="14"/>
    <n v="74.5"/>
    <n v="1266.5"/>
    <x v="32"/>
    <d v="2025-02-04T00:00:00"/>
    <x v="1"/>
    <x v="4"/>
    <x v="0"/>
    <x v="0"/>
    <x v="18"/>
    <x v="1"/>
    <x v="5"/>
    <x v="1"/>
  </r>
  <r>
    <x v="756"/>
    <x v="5"/>
    <x v="0"/>
    <n v="72.8"/>
    <n v="72.8"/>
    <x v="32"/>
    <d v="2025-02-03T00:00:00"/>
    <x v="2"/>
    <x v="0"/>
    <x v="1"/>
    <x v="0"/>
    <x v="19"/>
    <x v="3"/>
    <x v="5"/>
    <x v="2"/>
  </r>
  <r>
    <x v="757"/>
    <x v="6"/>
    <x v="12"/>
    <n v="137.30000000000001"/>
    <n v="549.20000000000005"/>
    <x v="32"/>
    <d v="2025-02-05T00:00:00"/>
    <x v="2"/>
    <x v="0"/>
    <x v="0"/>
    <x v="0"/>
    <x v="13"/>
    <x v="2"/>
    <x v="5"/>
    <x v="2"/>
  </r>
  <r>
    <x v="758"/>
    <x v="1"/>
    <x v="2"/>
    <n v="48.7"/>
    <n v="146.10000000000002"/>
    <x v="32"/>
    <d v="2025-02-07T00:00:00"/>
    <x v="2"/>
    <x v="0"/>
    <x v="1"/>
    <x v="0"/>
    <x v="21"/>
    <x v="0"/>
    <x v="5"/>
    <x v="2"/>
  </r>
  <r>
    <x v="759"/>
    <x v="6"/>
    <x v="12"/>
    <n v="53.7"/>
    <n v="214.8"/>
    <x v="32"/>
    <d v="2025-02-06T00:00:00"/>
    <x v="1"/>
    <x v="1"/>
    <x v="4"/>
    <x v="0"/>
    <x v="2"/>
    <x v="5"/>
    <x v="5"/>
    <x v="1"/>
  </r>
  <r>
    <x v="760"/>
    <x v="2"/>
    <x v="3"/>
    <n v="100.9"/>
    <n v="706.30000000000007"/>
    <x v="32"/>
    <d v="2025-02-04T00:00:00"/>
    <x v="2"/>
    <x v="0"/>
    <x v="1"/>
    <x v="0"/>
    <x v="2"/>
    <x v="1"/>
    <x v="5"/>
    <x v="2"/>
  </r>
  <r>
    <x v="761"/>
    <x v="10"/>
    <x v="1"/>
    <n v="41.8"/>
    <n v="83.6"/>
    <x v="32"/>
    <d v="2025-02-06T00:00:00"/>
    <x v="1"/>
    <x v="3"/>
    <x v="2"/>
    <x v="0"/>
    <x v="22"/>
    <x v="5"/>
    <x v="5"/>
    <x v="1"/>
  </r>
  <r>
    <x v="762"/>
    <x v="4"/>
    <x v="8"/>
    <n v="28.5"/>
    <n v="228"/>
    <x v="32"/>
    <d v="2025-02-04T00:00:00"/>
    <x v="1"/>
    <x v="2"/>
    <x v="1"/>
    <x v="0"/>
    <x v="3"/>
    <x v="1"/>
    <x v="5"/>
    <x v="1"/>
  </r>
  <r>
    <x v="763"/>
    <x v="7"/>
    <x v="12"/>
    <n v="88.9"/>
    <n v="355.6"/>
    <x v="32"/>
    <d v="2025-02-05T00:00:00"/>
    <x v="2"/>
    <x v="0"/>
    <x v="2"/>
    <x v="0"/>
    <x v="3"/>
    <x v="2"/>
    <x v="5"/>
    <x v="2"/>
  </r>
  <r>
    <x v="764"/>
    <x v="6"/>
    <x v="0"/>
    <n v="62.5"/>
    <n v="62.5"/>
    <x v="32"/>
    <d v="2025-02-11T00:00:00"/>
    <x v="2"/>
    <x v="0"/>
    <x v="2"/>
    <x v="0"/>
    <x v="3"/>
    <x v="8"/>
    <x v="5"/>
    <x v="2"/>
  </r>
  <r>
    <x v="765"/>
    <x v="1"/>
    <x v="2"/>
    <n v="46.9"/>
    <n v="140.69999999999999"/>
    <x v="32"/>
    <d v="2025-02-03T00:00:00"/>
    <x v="1"/>
    <x v="0"/>
    <x v="2"/>
    <x v="0"/>
    <x v="3"/>
    <x v="3"/>
    <x v="5"/>
    <x v="1"/>
  </r>
  <r>
    <x v="766"/>
    <x v="8"/>
    <x v="2"/>
    <n v="45"/>
    <n v="135"/>
    <x v="32"/>
    <d v="2025-02-16T00:00:00"/>
    <x v="1"/>
    <x v="1"/>
    <x v="0"/>
    <x v="0"/>
    <x v="3"/>
    <x v="12"/>
    <x v="5"/>
    <x v="1"/>
  </r>
  <r>
    <x v="767"/>
    <x v="6"/>
    <x v="2"/>
    <n v="45.2"/>
    <n v="135.60000000000002"/>
    <x v="32"/>
    <d v="2025-02-04T00:00:00"/>
    <x v="1"/>
    <x v="4"/>
    <x v="2"/>
    <x v="0"/>
    <x v="3"/>
    <x v="1"/>
    <x v="5"/>
    <x v="1"/>
  </r>
  <r>
    <x v="768"/>
    <x v="4"/>
    <x v="1"/>
    <n v="60.1"/>
    <n v="120.2"/>
    <x v="32"/>
    <d v="2025-02-03T00:00:00"/>
    <x v="2"/>
    <x v="0"/>
    <x v="2"/>
    <x v="0"/>
    <x v="3"/>
    <x v="3"/>
    <x v="5"/>
    <x v="2"/>
  </r>
  <r>
    <x v="769"/>
    <x v="12"/>
    <x v="12"/>
    <n v="118.7"/>
    <n v="474.8"/>
    <x v="32"/>
    <d v="2025-02-04T00:00:00"/>
    <x v="2"/>
    <x v="0"/>
    <x v="0"/>
    <x v="0"/>
    <x v="3"/>
    <x v="1"/>
    <x v="5"/>
    <x v="2"/>
  </r>
  <r>
    <x v="770"/>
    <x v="9"/>
    <x v="0"/>
    <n v="57.8"/>
    <n v="57.8"/>
    <x v="32"/>
    <d v="2025-02-11T00:00:00"/>
    <x v="2"/>
    <x v="1"/>
    <x v="0"/>
    <x v="0"/>
    <x v="3"/>
    <x v="8"/>
    <x v="5"/>
    <x v="2"/>
  </r>
  <r>
    <x v="771"/>
    <x v="4"/>
    <x v="0"/>
    <n v="19.5"/>
    <n v="19.5"/>
    <x v="32"/>
    <d v="2025-02-03T00:00:00"/>
    <x v="1"/>
    <x v="1"/>
    <x v="1"/>
    <x v="0"/>
    <x v="3"/>
    <x v="3"/>
    <x v="5"/>
    <x v="1"/>
  </r>
  <r>
    <x v="772"/>
    <x v="12"/>
    <x v="0"/>
    <n v="42.6"/>
    <n v="42.6"/>
    <x v="32"/>
    <d v="2025-02-03T00:00:00"/>
    <x v="1"/>
    <x v="0"/>
    <x v="1"/>
    <x v="0"/>
    <x v="3"/>
    <x v="3"/>
    <x v="5"/>
    <x v="1"/>
  </r>
  <r>
    <x v="773"/>
    <x v="6"/>
    <x v="1"/>
    <n v="74.8"/>
    <n v="149.6"/>
    <x v="32"/>
    <d v="2025-02-03T00:00:00"/>
    <x v="2"/>
    <x v="3"/>
    <x v="2"/>
    <x v="0"/>
    <x v="37"/>
    <x v="3"/>
    <x v="5"/>
    <x v="2"/>
  </r>
  <r>
    <x v="774"/>
    <x v="8"/>
    <x v="2"/>
    <n v="32.5"/>
    <n v="97.5"/>
    <x v="32"/>
    <d v="2025-02-03T00:00:00"/>
    <x v="1"/>
    <x v="2"/>
    <x v="4"/>
    <x v="0"/>
    <x v="16"/>
    <x v="3"/>
    <x v="5"/>
    <x v="1"/>
  </r>
  <r>
    <x v="775"/>
    <x v="2"/>
    <x v="2"/>
    <n v="60.5"/>
    <n v="181.5"/>
    <x v="32"/>
    <d v="2025-02-02T00:00:00"/>
    <x v="2"/>
    <x v="1"/>
    <x v="2"/>
    <x v="0"/>
    <x v="25"/>
    <x v="7"/>
    <x v="5"/>
    <x v="2"/>
  </r>
  <r>
    <x v="776"/>
    <x v="1"/>
    <x v="3"/>
    <n v="57.2"/>
    <n v="400.40000000000003"/>
    <x v="32"/>
    <d v="2025-02-04T00:00:00"/>
    <x v="0"/>
    <x v="2"/>
    <x v="0"/>
    <x v="0"/>
    <x v="25"/>
    <x v="1"/>
    <x v="5"/>
    <x v="0"/>
  </r>
  <r>
    <x v="777"/>
    <x v="16"/>
    <x v="1"/>
    <n v="112"/>
    <n v="224"/>
    <x v="32"/>
    <d v="2025-02-03T00:00:00"/>
    <x v="2"/>
    <x v="1"/>
    <x v="1"/>
    <x v="0"/>
    <x v="5"/>
    <x v="3"/>
    <x v="5"/>
    <x v="2"/>
  </r>
  <r>
    <x v="778"/>
    <x v="7"/>
    <x v="7"/>
    <n v="49"/>
    <n v="490"/>
    <x v="32"/>
    <d v="2025-02-03T00:00:00"/>
    <x v="3"/>
    <x v="2"/>
    <x v="1"/>
    <x v="0"/>
    <x v="6"/>
    <x v="3"/>
    <x v="5"/>
    <x v="3"/>
  </r>
  <r>
    <x v="779"/>
    <x v="0"/>
    <x v="1"/>
    <n v="33.700000000000003"/>
    <n v="67.400000000000006"/>
    <x v="32"/>
    <d v="2025-02-06T00:00:00"/>
    <x v="2"/>
    <x v="3"/>
    <x v="0"/>
    <x v="0"/>
    <x v="6"/>
    <x v="5"/>
    <x v="5"/>
    <x v="2"/>
  </r>
  <r>
    <x v="780"/>
    <x v="4"/>
    <x v="2"/>
    <n v="35.6"/>
    <n v="106.80000000000001"/>
    <x v="32"/>
    <d v="2025-02-05T00:00:00"/>
    <x v="2"/>
    <x v="0"/>
    <x v="2"/>
    <x v="0"/>
    <x v="6"/>
    <x v="2"/>
    <x v="5"/>
    <x v="2"/>
  </r>
  <r>
    <x v="781"/>
    <x v="4"/>
    <x v="36"/>
    <n v="30.4"/>
    <n v="1064"/>
    <x v="33"/>
    <d v="2025-02-03T00:00:00"/>
    <x v="2"/>
    <x v="0"/>
    <x v="1"/>
    <x v="0"/>
    <x v="7"/>
    <x v="7"/>
    <x v="5"/>
    <x v="2"/>
  </r>
  <r>
    <x v="782"/>
    <x v="10"/>
    <x v="4"/>
    <n v="50.2"/>
    <n v="602.40000000000009"/>
    <x v="33"/>
    <d v="2025-02-04T00:00:00"/>
    <x v="1"/>
    <x v="4"/>
    <x v="0"/>
    <x v="0"/>
    <x v="8"/>
    <x v="3"/>
    <x v="5"/>
    <x v="1"/>
  </r>
  <r>
    <x v="783"/>
    <x v="1"/>
    <x v="1"/>
    <n v="43.7"/>
    <n v="87.4"/>
    <x v="33"/>
    <d v="2025-02-05T00:00:00"/>
    <x v="2"/>
    <x v="0"/>
    <x v="0"/>
    <x v="0"/>
    <x v="8"/>
    <x v="1"/>
    <x v="5"/>
    <x v="2"/>
  </r>
  <r>
    <x v="784"/>
    <x v="10"/>
    <x v="0"/>
    <n v="33.299999999999997"/>
    <n v="33.299999999999997"/>
    <x v="33"/>
    <d v="2025-02-04T00:00:00"/>
    <x v="2"/>
    <x v="2"/>
    <x v="1"/>
    <x v="0"/>
    <x v="8"/>
    <x v="3"/>
    <x v="5"/>
    <x v="2"/>
  </r>
  <r>
    <x v="785"/>
    <x v="8"/>
    <x v="12"/>
    <n v="15.1"/>
    <n v="60.4"/>
    <x v="33"/>
    <d v="2025-02-05T00:00:00"/>
    <x v="2"/>
    <x v="4"/>
    <x v="2"/>
    <x v="0"/>
    <x v="8"/>
    <x v="1"/>
    <x v="5"/>
    <x v="2"/>
  </r>
  <r>
    <x v="786"/>
    <x v="6"/>
    <x v="9"/>
    <n v="118.2"/>
    <n v="591"/>
    <x v="33"/>
    <d v="2025-02-04T00:00:00"/>
    <x v="2"/>
    <x v="3"/>
    <x v="4"/>
    <x v="0"/>
    <x v="8"/>
    <x v="3"/>
    <x v="5"/>
    <x v="2"/>
  </r>
  <r>
    <x v="787"/>
    <x v="10"/>
    <x v="2"/>
    <n v="28.9"/>
    <n v="86.699999999999989"/>
    <x v="33"/>
    <d v="2025-02-05T00:00:00"/>
    <x v="2"/>
    <x v="2"/>
    <x v="1"/>
    <x v="0"/>
    <x v="8"/>
    <x v="1"/>
    <x v="5"/>
    <x v="2"/>
  </r>
  <r>
    <x v="788"/>
    <x v="4"/>
    <x v="2"/>
    <n v="55.6"/>
    <n v="166.8"/>
    <x v="33"/>
    <d v="2025-02-04T00:00:00"/>
    <x v="1"/>
    <x v="0"/>
    <x v="1"/>
    <x v="0"/>
    <x v="8"/>
    <x v="3"/>
    <x v="5"/>
    <x v="1"/>
  </r>
  <r>
    <x v="789"/>
    <x v="9"/>
    <x v="12"/>
    <n v="25.6"/>
    <n v="102.4"/>
    <x v="33"/>
    <d v="2025-02-05T00:00:00"/>
    <x v="2"/>
    <x v="0"/>
    <x v="1"/>
    <x v="0"/>
    <x v="8"/>
    <x v="1"/>
    <x v="5"/>
    <x v="2"/>
  </r>
  <r>
    <x v="790"/>
    <x v="7"/>
    <x v="2"/>
    <n v="31.3"/>
    <n v="93.9"/>
    <x v="33"/>
    <d v="2025-02-04T00:00:00"/>
    <x v="1"/>
    <x v="0"/>
    <x v="0"/>
    <x v="0"/>
    <x v="17"/>
    <x v="3"/>
    <x v="5"/>
    <x v="1"/>
  </r>
  <r>
    <x v="791"/>
    <x v="0"/>
    <x v="2"/>
    <n v="22.1"/>
    <n v="66.300000000000011"/>
    <x v="33"/>
    <d v="2025-02-07T00:00:00"/>
    <x v="1"/>
    <x v="0"/>
    <x v="0"/>
    <x v="0"/>
    <x v="17"/>
    <x v="5"/>
    <x v="5"/>
    <x v="1"/>
  </r>
  <r>
    <x v="792"/>
    <x v="2"/>
    <x v="21"/>
    <n v="99.4"/>
    <n v="1391.6000000000001"/>
    <x v="33"/>
    <d v="2025-02-04T00:00:00"/>
    <x v="1"/>
    <x v="1"/>
    <x v="0"/>
    <x v="0"/>
    <x v="11"/>
    <x v="3"/>
    <x v="5"/>
    <x v="1"/>
  </r>
  <r>
    <x v="793"/>
    <x v="7"/>
    <x v="13"/>
    <n v="66.599999999999994"/>
    <n v="399.59999999999997"/>
    <x v="33"/>
    <d v="2025-02-04T00:00:00"/>
    <x v="2"/>
    <x v="0"/>
    <x v="0"/>
    <x v="0"/>
    <x v="11"/>
    <x v="3"/>
    <x v="5"/>
    <x v="2"/>
  </r>
  <r>
    <x v="794"/>
    <x v="8"/>
    <x v="1"/>
    <n v="22.6"/>
    <n v="45.2"/>
    <x v="33"/>
    <d v="2025-02-06T00:00:00"/>
    <x v="1"/>
    <x v="0"/>
    <x v="0"/>
    <x v="0"/>
    <x v="11"/>
    <x v="2"/>
    <x v="5"/>
    <x v="1"/>
  </r>
  <r>
    <x v="795"/>
    <x v="2"/>
    <x v="16"/>
    <n v="66.8"/>
    <n v="1202.3999999999999"/>
    <x v="33"/>
    <d v="2025-02-04T00:00:00"/>
    <x v="2"/>
    <x v="0"/>
    <x v="4"/>
    <x v="0"/>
    <x v="13"/>
    <x v="3"/>
    <x v="5"/>
    <x v="2"/>
  </r>
  <r>
    <x v="796"/>
    <x v="0"/>
    <x v="12"/>
    <n v="20.8"/>
    <n v="83.2"/>
    <x v="33"/>
    <d v="2025-02-10T00:00:00"/>
    <x v="1"/>
    <x v="1"/>
    <x v="4"/>
    <x v="0"/>
    <x v="1"/>
    <x v="6"/>
    <x v="5"/>
    <x v="1"/>
  </r>
  <r>
    <x v="797"/>
    <x v="2"/>
    <x v="3"/>
    <n v="102.5"/>
    <n v="717.5"/>
    <x v="33"/>
    <d v="2025-02-04T00:00:00"/>
    <x v="2"/>
    <x v="4"/>
    <x v="2"/>
    <x v="0"/>
    <x v="3"/>
    <x v="3"/>
    <x v="5"/>
    <x v="2"/>
  </r>
  <r>
    <x v="798"/>
    <x v="0"/>
    <x v="16"/>
    <n v="24.8"/>
    <n v="446.40000000000003"/>
    <x v="33"/>
    <d v="2025-02-07T00:00:00"/>
    <x v="2"/>
    <x v="0"/>
    <x v="0"/>
    <x v="0"/>
    <x v="3"/>
    <x v="5"/>
    <x v="5"/>
    <x v="2"/>
  </r>
  <r>
    <x v="799"/>
    <x v="4"/>
    <x v="37"/>
    <n v="31.4"/>
    <n v="973.4"/>
    <x v="33"/>
    <d v="2025-02-04T00:00:00"/>
    <x v="2"/>
    <x v="3"/>
    <x v="0"/>
    <x v="0"/>
    <x v="3"/>
    <x v="3"/>
    <x v="5"/>
    <x v="2"/>
  </r>
  <r>
    <x v="800"/>
    <x v="9"/>
    <x v="9"/>
    <n v="59.3"/>
    <n v="296.5"/>
    <x v="33"/>
    <d v="2025-02-06T00:00:00"/>
    <x v="1"/>
    <x v="1"/>
    <x v="2"/>
    <x v="0"/>
    <x v="43"/>
    <x v="2"/>
    <x v="5"/>
    <x v="1"/>
  </r>
  <r>
    <x v="801"/>
    <x v="11"/>
    <x v="13"/>
    <n v="39"/>
    <n v="234"/>
    <x v="33"/>
    <d v="2025-02-06T00:00:00"/>
    <x v="1"/>
    <x v="1"/>
    <x v="0"/>
    <x v="0"/>
    <x v="6"/>
    <x v="2"/>
    <x v="5"/>
    <x v="1"/>
  </r>
  <r>
    <x v="802"/>
    <x v="5"/>
    <x v="13"/>
    <n v="98.6"/>
    <n v="591.59999999999991"/>
    <x v="33"/>
    <d v="2025-02-05T00:00:00"/>
    <x v="2"/>
    <x v="1"/>
    <x v="0"/>
    <x v="0"/>
    <x v="6"/>
    <x v="1"/>
    <x v="5"/>
    <x v="2"/>
  </r>
  <r>
    <x v="803"/>
    <x v="8"/>
    <x v="0"/>
    <n v="20"/>
    <n v="20"/>
    <x v="34"/>
    <d v="2025-02-05T00:00:00"/>
    <x v="1"/>
    <x v="3"/>
    <x v="2"/>
    <x v="0"/>
    <x v="8"/>
    <x v="3"/>
    <x v="5"/>
    <x v="1"/>
  </r>
  <r>
    <x v="804"/>
    <x v="1"/>
    <x v="1"/>
    <n v="42.9"/>
    <n v="85.8"/>
    <x v="34"/>
    <d v="2025-02-06T00:00:00"/>
    <x v="2"/>
    <x v="0"/>
    <x v="2"/>
    <x v="0"/>
    <x v="8"/>
    <x v="1"/>
    <x v="5"/>
    <x v="2"/>
  </r>
  <r>
    <x v="805"/>
    <x v="7"/>
    <x v="3"/>
    <n v="55.6"/>
    <n v="389.2"/>
    <x v="34"/>
    <d v="2025-02-06T00:00:00"/>
    <x v="2"/>
    <x v="2"/>
    <x v="1"/>
    <x v="0"/>
    <x v="8"/>
    <x v="1"/>
    <x v="5"/>
    <x v="2"/>
  </r>
  <r>
    <x v="806"/>
    <x v="8"/>
    <x v="12"/>
    <n v="19.2"/>
    <n v="76.8"/>
    <x v="34"/>
    <d v="2025-02-09T00:00:00"/>
    <x v="2"/>
    <x v="0"/>
    <x v="0"/>
    <x v="0"/>
    <x v="41"/>
    <x v="0"/>
    <x v="5"/>
    <x v="2"/>
  </r>
  <r>
    <x v="807"/>
    <x v="5"/>
    <x v="1"/>
    <n v="28.8"/>
    <n v="57.6"/>
    <x v="34"/>
    <d v="2025-02-06T00:00:00"/>
    <x v="1"/>
    <x v="1"/>
    <x v="0"/>
    <x v="0"/>
    <x v="18"/>
    <x v="1"/>
    <x v="5"/>
    <x v="1"/>
  </r>
  <r>
    <x v="808"/>
    <x v="4"/>
    <x v="0"/>
    <n v="29.7"/>
    <n v="29.7"/>
    <x v="34"/>
    <d v="2025-02-06T00:00:00"/>
    <x v="2"/>
    <x v="2"/>
    <x v="4"/>
    <x v="0"/>
    <x v="20"/>
    <x v="1"/>
    <x v="5"/>
    <x v="2"/>
  </r>
  <r>
    <x v="809"/>
    <x v="6"/>
    <x v="13"/>
    <n v="63.3"/>
    <n v="379.79999999999995"/>
    <x v="34"/>
    <d v="2025-02-05T00:00:00"/>
    <x v="0"/>
    <x v="0"/>
    <x v="2"/>
    <x v="0"/>
    <x v="21"/>
    <x v="3"/>
    <x v="5"/>
    <x v="0"/>
  </r>
  <r>
    <x v="810"/>
    <x v="4"/>
    <x v="0"/>
    <n v="46"/>
    <n v="46"/>
    <x v="34"/>
    <d v="2025-02-05T00:00:00"/>
    <x v="2"/>
    <x v="0"/>
    <x v="2"/>
    <x v="0"/>
    <x v="21"/>
    <x v="3"/>
    <x v="5"/>
    <x v="2"/>
  </r>
  <r>
    <x v="811"/>
    <x v="11"/>
    <x v="2"/>
    <n v="38"/>
    <n v="114"/>
    <x v="34"/>
    <d v="2025-02-06T00:00:00"/>
    <x v="2"/>
    <x v="1"/>
    <x v="2"/>
    <x v="0"/>
    <x v="21"/>
    <x v="1"/>
    <x v="5"/>
    <x v="2"/>
  </r>
  <r>
    <x v="812"/>
    <x v="10"/>
    <x v="15"/>
    <n v="34.6"/>
    <n v="449.8"/>
    <x v="34"/>
    <d v="2025-02-06T00:00:00"/>
    <x v="2"/>
    <x v="0"/>
    <x v="1"/>
    <x v="0"/>
    <x v="21"/>
    <x v="1"/>
    <x v="5"/>
    <x v="2"/>
  </r>
  <r>
    <x v="813"/>
    <x v="3"/>
    <x v="7"/>
    <n v="79.7"/>
    <n v="797"/>
    <x v="34"/>
    <d v="2025-02-05T00:00:00"/>
    <x v="2"/>
    <x v="4"/>
    <x v="1"/>
    <x v="0"/>
    <x v="21"/>
    <x v="3"/>
    <x v="5"/>
    <x v="2"/>
  </r>
  <r>
    <x v="814"/>
    <x v="8"/>
    <x v="8"/>
    <n v="30.5"/>
    <n v="244"/>
    <x v="34"/>
    <d v="2025-02-08T00:00:00"/>
    <x v="1"/>
    <x v="3"/>
    <x v="0"/>
    <x v="0"/>
    <x v="1"/>
    <x v="5"/>
    <x v="5"/>
    <x v="1"/>
  </r>
  <r>
    <x v="815"/>
    <x v="0"/>
    <x v="1"/>
    <n v="20.8"/>
    <n v="41.6"/>
    <x v="34"/>
    <d v="2025-02-05T00:00:00"/>
    <x v="2"/>
    <x v="0"/>
    <x v="0"/>
    <x v="0"/>
    <x v="2"/>
    <x v="3"/>
    <x v="5"/>
    <x v="2"/>
  </r>
  <r>
    <x v="816"/>
    <x v="11"/>
    <x v="3"/>
    <n v="48.5"/>
    <n v="339.5"/>
    <x v="34"/>
    <d v="2025-02-08T00:00:00"/>
    <x v="2"/>
    <x v="2"/>
    <x v="2"/>
    <x v="0"/>
    <x v="2"/>
    <x v="5"/>
    <x v="5"/>
    <x v="2"/>
  </r>
  <r>
    <x v="817"/>
    <x v="2"/>
    <x v="12"/>
    <n v="61.8"/>
    <n v="247.2"/>
    <x v="34"/>
    <d v="2025-02-08T00:00:00"/>
    <x v="2"/>
    <x v="4"/>
    <x v="0"/>
    <x v="0"/>
    <x v="22"/>
    <x v="5"/>
    <x v="5"/>
    <x v="2"/>
  </r>
  <r>
    <x v="818"/>
    <x v="10"/>
    <x v="0"/>
    <n v="46.1"/>
    <n v="46.1"/>
    <x v="34"/>
    <d v="2025-02-05T00:00:00"/>
    <x v="3"/>
    <x v="2"/>
    <x v="0"/>
    <x v="0"/>
    <x v="3"/>
    <x v="3"/>
    <x v="5"/>
    <x v="3"/>
  </r>
  <r>
    <x v="819"/>
    <x v="4"/>
    <x v="13"/>
    <n v="44"/>
    <n v="264"/>
    <x v="34"/>
    <d v="2025-02-05T00:00:00"/>
    <x v="2"/>
    <x v="0"/>
    <x v="0"/>
    <x v="0"/>
    <x v="3"/>
    <x v="3"/>
    <x v="5"/>
    <x v="2"/>
  </r>
  <r>
    <x v="820"/>
    <x v="18"/>
    <x v="1"/>
    <n v="95.7"/>
    <n v="191.4"/>
    <x v="34"/>
    <d v="2025-02-10T00:00:00"/>
    <x v="2"/>
    <x v="3"/>
    <x v="2"/>
    <x v="0"/>
    <x v="3"/>
    <x v="4"/>
    <x v="5"/>
    <x v="2"/>
  </r>
  <r>
    <x v="821"/>
    <x v="7"/>
    <x v="9"/>
    <n v="46.4"/>
    <n v="232"/>
    <x v="34"/>
    <d v="2025-02-07T00:00:00"/>
    <x v="2"/>
    <x v="0"/>
    <x v="0"/>
    <x v="0"/>
    <x v="3"/>
    <x v="2"/>
    <x v="5"/>
    <x v="2"/>
  </r>
  <r>
    <x v="822"/>
    <x v="6"/>
    <x v="1"/>
    <n v="47.2"/>
    <n v="94.4"/>
    <x v="34"/>
    <d v="2025-02-06T00:00:00"/>
    <x v="2"/>
    <x v="0"/>
    <x v="2"/>
    <x v="0"/>
    <x v="3"/>
    <x v="1"/>
    <x v="5"/>
    <x v="2"/>
  </r>
  <r>
    <x v="823"/>
    <x v="7"/>
    <x v="1"/>
    <n v="58.6"/>
    <n v="117.2"/>
    <x v="34"/>
    <d v="2025-02-05T00:00:00"/>
    <x v="2"/>
    <x v="2"/>
    <x v="1"/>
    <x v="0"/>
    <x v="3"/>
    <x v="3"/>
    <x v="5"/>
    <x v="2"/>
  </r>
  <r>
    <x v="824"/>
    <x v="4"/>
    <x v="2"/>
    <n v="57"/>
    <n v="171"/>
    <x v="34"/>
    <d v="2025-02-05T00:00:00"/>
    <x v="1"/>
    <x v="0"/>
    <x v="2"/>
    <x v="0"/>
    <x v="3"/>
    <x v="3"/>
    <x v="5"/>
    <x v="1"/>
  </r>
  <r>
    <x v="825"/>
    <x v="8"/>
    <x v="12"/>
    <n v="28.9"/>
    <n v="115.6"/>
    <x v="34"/>
    <d v="2025-02-08T00:00:00"/>
    <x v="1"/>
    <x v="2"/>
    <x v="0"/>
    <x v="0"/>
    <x v="3"/>
    <x v="5"/>
    <x v="5"/>
    <x v="1"/>
  </r>
  <r>
    <x v="826"/>
    <x v="12"/>
    <x v="9"/>
    <n v="60.7"/>
    <n v="303.5"/>
    <x v="34"/>
    <d v="2025-02-08T00:00:00"/>
    <x v="0"/>
    <x v="1"/>
    <x v="1"/>
    <x v="0"/>
    <x v="3"/>
    <x v="5"/>
    <x v="5"/>
    <x v="0"/>
  </r>
  <r>
    <x v="827"/>
    <x v="6"/>
    <x v="9"/>
    <n v="60.8"/>
    <n v="304"/>
    <x v="34"/>
    <d v="2025-02-08T00:00:00"/>
    <x v="1"/>
    <x v="0"/>
    <x v="1"/>
    <x v="0"/>
    <x v="3"/>
    <x v="5"/>
    <x v="5"/>
    <x v="1"/>
  </r>
  <r>
    <x v="828"/>
    <x v="6"/>
    <x v="9"/>
    <n v="64.599999999999994"/>
    <n v="323"/>
    <x v="34"/>
    <d v="2025-02-05T00:00:00"/>
    <x v="2"/>
    <x v="3"/>
    <x v="0"/>
    <x v="0"/>
    <x v="3"/>
    <x v="3"/>
    <x v="5"/>
    <x v="2"/>
  </r>
  <r>
    <x v="829"/>
    <x v="8"/>
    <x v="0"/>
    <n v="21.9"/>
    <n v="21.9"/>
    <x v="34"/>
    <d v="2025-02-07T00:00:00"/>
    <x v="1"/>
    <x v="1"/>
    <x v="2"/>
    <x v="0"/>
    <x v="4"/>
    <x v="2"/>
    <x v="5"/>
    <x v="1"/>
  </r>
  <r>
    <x v="830"/>
    <x v="4"/>
    <x v="4"/>
    <n v="33.4"/>
    <n v="400.79999999999995"/>
    <x v="34"/>
    <d v="2025-02-06T00:00:00"/>
    <x v="2"/>
    <x v="0"/>
    <x v="0"/>
    <x v="0"/>
    <x v="23"/>
    <x v="1"/>
    <x v="5"/>
    <x v="2"/>
  </r>
  <r>
    <x v="831"/>
    <x v="2"/>
    <x v="0"/>
    <n v="51.7"/>
    <n v="51.7"/>
    <x v="34"/>
    <d v="2025-02-05T00:00:00"/>
    <x v="0"/>
    <x v="0"/>
    <x v="0"/>
    <x v="0"/>
    <x v="6"/>
    <x v="3"/>
    <x v="5"/>
    <x v="0"/>
  </r>
  <r>
    <x v="832"/>
    <x v="1"/>
    <x v="12"/>
    <n v="84.9"/>
    <n v="339.6"/>
    <x v="34"/>
    <d v="2025-02-05T00:00:00"/>
    <x v="2"/>
    <x v="1"/>
    <x v="1"/>
    <x v="0"/>
    <x v="6"/>
    <x v="3"/>
    <x v="5"/>
    <x v="2"/>
  </r>
  <r>
    <x v="833"/>
    <x v="1"/>
    <x v="5"/>
    <n v="62.3"/>
    <n v="685.3"/>
    <x v="34"/>
    <d v="2025-02-05T00:00:00"/>
    <x v="2"/>
    <x v="2"/>
    <x v="2"/>
    <x v="0"/>
    <x v="7"/>
    <x v="3"/>
    <x v="5"/>
    <x v="2"/>
  </r>
  <r>
    <x v="834"/>
    <x v="4"/>
    <x v="0"/>
    <n v="50.7"/>
    <n v="50.7"/>
    <x v="34"/>
    <d v="2025-02-06T00:00:00"/>
    <x v="1"/>
    <x v="2"/>
    <x v="2"/>
    <x v="0"/>
    <x v="8"/>
    <x v="1"/>
    <x v="5"/>
    <x v="1"/>
  </r>
  <r>
    <x v="835"/>
    <x v="18"/>
    <x v="0"/>
    <n v="39.5"/>
    <n v="39.5"/>
    <x v="34"/>
    <d v="2025-02-05T00:00:00"/>
    <x v="1"/>
    <x v="4"/>
    <x v="1"/>
    <x v="0"/>
    <x v="8"/>
    <x v="3"/>
    <x v="5"/>
    <x v="1"/>
  </r>
  <r>
    <x v="836"/>
    <x v="12"/>
    <x v="2"/>
    <n v="30.9"/>
    <n v="92.699999999999989"/>
    <x v="34"/>
    <d v="2025-02-05T00:00:00"/>
    <x v="0"/>
    <x v="4"/>
    <x v="2"/>
    <x v="0"/>
    <x v="8"/>
    <x v="3"/>
    <x v="5"/>
    <x v="0"/>
  </r>
  <r>
    <x v="837"/>
    <x v="1"/>
    <x v="3"/>
    <n v="36.4"/>
    <n v="254.79999999999998"/>
    <x v="34"/>
    <d v="2025-02-07T00:00:00"/>
    <x v="2"/>
    <x v="0"/>
    <x v="2"/>
    <x v="0"/>
    <x v="8"/>
    <x v="2"/>
    <x v="5"/>
    <x v="2"/>
  </r>
  <r>
    <x v="838"/>
    <x v="6"/>
    <x v="8"/>
    <n v="105.6"/>
    <n v="844.8"/>
    <x v="34"/>
    <d v="2025-02-14T00:00:00"/>
    <x v="2"/>
    <x v="0"/>
    <x v="0"/>
    <x v="0"/>
    <x v="8"/>
    <x v="14"/>
    <x v="5"/>
    <x v="2"/>
  </r>
  <r>
    <x v="839"/>
    <x v="8"/>
    <x v="1"/>
    <n v="22.1"/>
    <n v="44.2"/>
    <x v="34"/>
    <d v="2025-02-05T00:00:00"/>
    <x v="2"/>
    <x v="0"/>
    <x v="2"/>
    <x v="0"/>
    <x v="17"/>
    <x v="3"/>
    <x v="5"/>
    <x v="2"/>
  </r>
  <r>
    <x v="840"/>
    <x v="0"/>
    <x v="2"/>
    <n v="22.6"/>
    <n v="67.800000000000011"/>
    <x v="34"/>
    <d v="2025-02-05T00:00:00"/>
    <x v="2"/>
    <x v="2"/>
    <x v="0"/>
    <x v="0"/>
    <x v="17"/>
    <x v="3"/>
    <x v="5"/>
    <x v="2"/>
  </r>
  <r>
    <x v="841"/>
    <x v="10"/>
    <x v="13"/>
    <n v="26.3"/>
    <n v="157.80000000000001"/>
    <x v="34"/>
    <d v="2025-02-04T00:00:00"/>
    <x v="2"/>
    <x v="2"/>
    <x v="0"/>
    <x v="0"/>
    <x v="9"/>
    <x v="7"/>
    <x v="5"/>
    <x v="2"/>
  </r>
  <r>
    <x v="842"/>
    <x v="1"/>
    <x v="12"/>
    <n v="37.799999999999997"/>
    <n v="151.19999999999999"/>
    <x v="34"/>
    <d v="2025-02-05T00:00:00"/>
    <x v="2"/>
    <x v="0"/>
    <x v="2"/>
    <x v="0"/>
    <x v="11"/>
    <x v="3"/>
    <x v="5"/>
    <x v="2"/>
  </r>
  <r>
    <x v="843"/>
    <x v="6"/>
    <x v="14"/>
    <n v="96"/>
    <n v="1632"/>
    <x v="34"/>
    <d v="2025-02-07T00:00:00"/>
    <x v="2"/>
    <x v="4"/>
    <x v="1"/>
    <x v="0"/>
    <x v="18"/>
    <x v="2"/>
    <x v="5"/>
    <x v="2"/>
  </r>
  <r>
    <x v="844"/>
    <x v="1"/>
    <x v="0"/>
    <n v="83.6"/>
    <n v="83.6"/>
    <x v="34"/>
    <d v="2025-02-07T00:00:00"/>
    <x v="2"/>
    <x v="2"/>
    <x v="1"/>
    <x v="0"/>
    <x v="19"/>
    <x v="2"/>
    <x v="5"/>
    <x v="2"/>
  </r>
  <r>
    <x v="845"/>
    <x v="2"/>
    <x v="13"/>
    <n v="72.599999999999994"/>
    <n v="435.59999999999997"/>
    <x v="34"/>
    <d v="2025-02-05T00:00:00"/>
    <x v="2"/>
    <x v="0"/>
    <x v="0"/>
    <x v="0"/>
    <x v="21"/>
    <x v="3"/>
    <x v="5"/>
    <x v="2"/>
  </r>
  <r>
    <x v="846"/>
    <x v="5"/>
    <x v="28"/>
    <n v="69.099999999999994"/>
    <n v="1382"/>
    <x v="35"/>
    <d v="2025-02-11T00:00:00"/>
    <x v="1"/>
    <x v="0"/>
    <x v="2"/>
    <x v="0"/>
    <x v="21"/>
    <x v="4"/>
    <x v="5"/>
    <x v="1"/>
  </r>
  <r>
    <x v="847"/>
    <x v="4"/>
    <x v="1"/>
    <n v="22.6"/>
    <n v="45.2"/>
    <x v="35"/>
    <d v="2025-02-07T00:00:00"/>
    <x v="2"/>
    <x v="1"/>
    <x v="2"/>
    <x v="0"/>
    <x v="21"/>
    <x v="1"/>
    <x v="5"/>
    <x v="2"/>
  </r>
  <r>
    <x v="848"/>
    <x v="6"/>
    <x v="1"/>
    <n v="45.3"/>
    <n v="90.6"/>
    <x v="35"/>
    <d v="2025-02-09T00:00:00"/>
    <x v="1"/>
    <x v="4"/>
    <x v="2"/>
    <x v="0"/>
    <x v="21"/>
    <x v="5"/>
    <x v="5"/>
    <x v="1"/>
  </r>
  <r>
    <x v="849"/>
    <x v="2"/>
    <x v="1"/>
    <n v="115.1"/>
    <n v="230.2"/>
    <x v="35"/>
    <d v="2025-02-06T00:00:00"/>
    <x v="2"/>
    <x v="1"/>
    <x v="0"/>
    <x v="0"/>
    <x v="1"/>
    <x v="3"/>
    <x v="5"/>
    <x v="2"/>
  </r>
  <r>
    <x v="850"/>
    <x v="18"/>
    <x v="12"/>
    <n v="79"/>
    <n v="316"/>
    <x v="35"/>
    <d v="2025-02-07T00:00:00"/>
    <x v="1"/>
    <x v="2"/>
    <x v="4"/>
    <x v="0"/>
    <x v="1"/>
    <x v="1"/>
    <x v="5"/>
    <x v="1"/>
  </r>
  <r>
    <x v="851"/>
    <x v="6"/>
    <x v="9"/>
    <n v="52.8"/>
    <n v="264"/>
    <x v="35"/>
    <d v="2025-02-06T00:00:00"/>
    <x v="2"/>
    <x v="0"/>
    <x v="0"/>
    <x v="0"/>
    <x v="42"/>
    <x v="3"/>
    <x v="5"/>
    <x v="2"/>
  </r>
  <r>
    <x v="852"/>
    <x v="8"/>
    <x v="1"/>
    <n v="34.1"/>
    <n v="68.2"/>
    <x v="35"/>
    <d v="2025-02-06T00:00:00"/>
    <x v="1"/>
    <x v="3"/>
    <x v="2"/>
    <x v="0"/>
    <x v="44"/>
    <x v="3"/>
    <x v="5"/>
    <x v="1"/>
  </r>
  <r>
    <x v="853"/>
    <x v="6"/>
    <x v="9"/>
    <n v="107.9"/>
    <n v="539.5"/>
    <x v="35"/>
    <d v="2025-02-05T00:00:00"/>
    <x v="2"/>
    <x v="0"/>
    <x v="2"/>
    <x v="0"/>
    <x v="50"/>
    <x v="7"/>
    <x v="5"/>
    <x v="2"/>
  </r>
  <r>
    <x v="854"/>
    <x v="8"/>
    <x v="15"/>
    <n v="48.5"/>
    <n v="630.5"/>
    <x v="35"/>
    <d v="2025-02-05T00:00:00"/>
    <x v="1"/>
    <x v="2"/>
    <x v="2"/>
    <x v="0"/>
    <x v="3"/>
    <x v="7"/>
    <x v="5"/>
    <x v="1"/>
  </r>
  <r>
    <x v="855"/>
    <x v="5"/>
    <x v="2"/>
    <n v="34.700000000000003"/>
    <n v="104.10000000000001"/>
    <x v="35"/>
    <d v="2025-02-06T00:00:00"/>
    <x v="0"/>
    <x v="4"/>
    <x v="1"/>
    <x v="0"/>
    <x v="3"/>
    <x v="3"/>
    <x v="5"/>
    <x v="0"/>
  </r>
  <r>
    <x v="856"/>
    <x v="8"/>
    <x v="0"/>
    <n v="16.8"/>
    <n v="16.8"/>
    <x v="35"/>
    <d v="2025-02-07T00:00:00"/>
    <x v="2"/>
    <x v="3"/>
    <x v="0"/>
    <x v="0"/>
    <x v="3"/>
    <x v="1"/>
    <x v="5"/>
    <x v="2"/>
  </r>
  <r>
    <x v="857"/>
    <x v="8"/>
    <x v="13"/>
    <n v="18.3"/>
    <n v="109.80000000000001"/>
    <x v="35"/>
    <d v="2025-02-08T00:00:00"/>
    <x v="2"/>
    <x v="0"/>
    <x v="0"/>
    <x v="0"/>
    <x v="3"/>
    <x v="2"/>
    <x v="5"/>
    <x v="2"/>
  </r>
  <r>
    <x v="858"/>
    <x v="18"/>
    <x v="2"/>
    <n v="55.9"/>
    <n v="167.7"/>
    <x v="35"/>
    <d v="2025-02-11T00:00:00"/>
    <x v="1"/>
    <x v="3"/>
    <x v="1"/>
    <x v="0"/>
    <x v="3"/>
    <x v="4"/>
    <x v="5"/>
    <x v="1"/>
  </r>
  <r>
    <x v="859"/>
    <x v="8"/>
    <x v="2"/>
    <n v="39.200000000000003"/>
    <n v="117.60000000000001"/>
    <x v="35"/>
    <d v="2025-02-07T00:00:00"/>
    <x v="2"/>
    <x v="0"/>
    <x v="1"/>
    <x v="0"/>
    <x v="3"/>
    <x v="1"/>
    <x v="5"/>
    <x v="2"/>
  </r>
  <r>
    <x v="860"/>
    <x v="15"/>
    <x v="12"/>
    <n v="66.5"/>
    <n v="266"/>
    <x v="35"/>
    <d v="2025-02-07T00:00:00"/>
    <x v="0"/>
    <x v="3"/>
    <x v="1"/>
    <x v="0"/>
    <x v="3"/>
    <x v="1"/>
    <x v="5"/>
    <x v="0"/>
  </r>
  <r>
    <x v="861"/>
    <x v="6"/>
    <x v="13"/>
    <n v="52.1"/>
    <n v="312.60000000000002"/>
    <x v="35"/>
    <d v="2025-02-07T00:00:00"/>
    <x v="1"/>
    <x v="1"/>
    <x v="1"/>
    <x v="0"/>
    <x v="16"/>
    <x v="1"/>
    <x v="5"/>
    <x v="1"/>
  </r>
  <r>
    <x v="862"/>
    <x v="8"/>
    <x v="1"/>
    <n v="19"/>
    <n v="38"/>
    <x v="35"/>
    <d v="2025-02-06T00:00:00"/>
    <x v="1"/>
    <x v="4"/>
    <x v="2"/>
    <x v="0"/>
    <x v="6"/>
    <x v="3"/>
    <x v="5"/>
    <x v="1"/>
  </r>
  <r>
    <x v="863"/>
    <x v="7"/>
    <x v="2"/>
    <n v="84.8"/>
    <n v="254.39999999999998"/>
    <x v="35"/>
    <d v="2025-02-07T00:00:00"/>
    <x v="2"/>
    <x v="2"/>
    <x v="0"/>
    <x v="0"/>
    <x v="8"/>
    <x v="1"/>
    <x v="5"/>
    <x v="2"/>
  </r>
  <r>
    <x v="864"/>
    <x v="2"/>
    <x v="12"/>
    <n v="63.9"/>
    <n v="255.6"/>
    <x v="35"/>
    <d v="2025-02-08T00:00:00"/>
    <x v="2"/>
    <x v="0"/>
    <x v="0"/>
    <x v="0"/>
    <x v="8"/>
    <x v="2"/>
    <x v="5"/>
    <x v="2"/>
  </r>
  <r>
    <x v="865"/>
    <x v="2"/>
    <x v="2"/>
    <n v="65.5"/>
    <n v="196.5"/>
    <x v="35"/>
    <d v="2025-02-05T00:00:00"/>
    <x v="2"/>
    <x v="1"/>
    <x v="1"/>
    <x v="0"/>
    <x v="8"/>
    <x v="7"/>
    <x v="5"/>
    <x v="2"/>
  </r>
  <r>
    <x v="866"/>
    <x v="12"/>
    <x v="1"/>
    <n v="116.2"/>
    <n v="232.4"/>
    <x v="35"/>
    <d v="2025-02-11T00:00:00"/>
    <x v="1"/>
    <x v="3"/>
    <x v="0"/>
    <x v="0"/>
    <x v="17"/>
    <x v="4"/>
    <x v="5"/>
    <x v="1"/>
  </r>
  <r>
    <x v="867"/>
    <x v="10"/>
    <x v="12"/>
    <n v="22.9"/>
    <n v="91.6"/>
    <x v="35"/>
    <d v="2025-02-07T00:00:00"/>
    <x v="2"/>
    <x v="2"/>
    <x v="1"/>
    <x v="0"/>
    <x v="38"/>
    <x v="1"/>
    <x v="5"/>
    <x v="2"/>
  </r>
  <r>
    <x v="868"/>
    <x v="10"/>
    <x v="2"/>
    <n v="53.7"/>
    <n v="161.10000000000002"/>
    <x v="35"/>
    <d v="2025-02-06T00:00:00"/>
    <x v="1"/>
    <x v="0"/>
    <x v="4"/>
    <x v="0"/>
    <x v="18"/>
    <x v="3"/>
    <x v="5"/>
    <x v="1"/>
  </r>
  <r>
    <x v="869"/>
    <x v="6"/>
    <x v="9"/>
    <n v="43.2"/>
    <n v="216"/>
    <x v="35"/>
    <d v="2025-02-07T00:00:00"/>
    <x v="2"/>
    <x v="0"/>
    <x v="0"/>
    <x v="0"/>
    <x v="19"/>
    <x v="1"/>
    <x v="5"/>
    <x v="2"/>
  </r>
  <r>
    <x v="870"/>
    <x v="1"/>
    <x v="2"/>
    <n v="84.5"/>
    <n v="253.5"/>
    <x v="35"/>
    <d v="2025-02-07T00:00:00"/>
    <x v="1"/>
    <x v="2"/>
    <x v="2"/>
    <x v="0"/>
    <x v="51"/>
    <x v="1"/>
    <x v="5"/>
    <x v="1"/>
  </r>
  <r>
    <x v="871"/>
    <x v="3"/>
    <x v="1"/>
    <n v="42.2"/>
    <n v="84.4"/>
    <x v="35"/>
    <d v="2025-02-06T00:00:00"/>
    <x v="2"/>
    <x v="1"/>
    <x v="2"/>
    <x v="0"/>
    <x v="1"/>
    <x v="3"/>
    <x v="5"/>
    <x v="2"/>
  </r>
  <r>
    <x v="872"/>
    <x v="2"/>
    <x v="13"/>
    <n v="94.7"/>
    <n v="568.20000000000005"/>
    <x v="35"/>
    <d v="2025-02-08T00:00:00"/>
    <x v="2"/>
    <x v="1"/>
    <x v="2"/>
    <x v="0"/>
    <x v="2"/>
    <x v="2"/>
    <x v="5"/>
    <x v="2"/>
  </r>
  <r>
    <x v="873"/>
    <x v="8"/>
    <x v="16"/>
    <n v="16.7"/>
    <n v="300.59999999999997"/>
    <x v="35"/>
    <d v="2025-02-17T00:00:00"/>
    <x v="2"/>
    <x v="0"/>
    <x v="2"/>
    <x v="0"/>
    <x v="2"/>
    <x v="13"/>
    <x v="5"/>
    <x v="2"/>
  </r>
  <r>
    <x v="874"/>
    <x v="2"/>
    <x v="1"/>
    <n v="83.6"/>
    <n v="167.2"/>
    <x v="35"/>
    <d v="2025-02-11T00:00:00"/>
    <x v="2"/>
    <x v="1"/>
    <x v="0"/>
    <x v="0"/>
    <x v="3"/>
    <x v="4"/>
    <x v="5"/>
    <x v="2"/>
  </r>
  <r>
    <x v="875"/>
    <x v="7"/>
    <x v="13"/>
    <n v="33.6"/>
    <n v="201.60000000000002"/>
    <x v="36"/>
    <d v="2025-02-07T00:00:00"/>
    <x v="2"/>
    <x v="3"/>
    <x v="0"/>
    <x v="0"/>
    <x v="3"/>
    <x v="3"/>
    <x v="5"/>
    <x v="2"/>
  </r>
  <r>
    <x v="876"/>
    <x v="7"/>
    <x v="1"/>
    <n v="64.7"/>
    <n v="129.4"/>
    <x v="36"/>
    <d v="2025-02-08T00:00:00"/>
    <x v="1"/>
    <x v="1"/>
    <x v="2"/>
    <x v="0"/>
    <x v="3"/>
    <x v="1"/>
    <x v="5"/>
    <x v="1"/>
  </r>
  <r>
    <x v="877"/>
    <x v="0"/>
    <x v="2"/>
    <n v="15.7"/>
    <n v="47.099999999999994"/>
    <x v="36"/>
    <d v="2025-02-12T00:00:00"/>
    <x v="2"/>
    <x v="0"/>
    <x v="0"/>
    <x v="0"/>
    <x v="3"/>
    <x v="4"/>
    <x v="5"/>
    <x v="2"/>
  </r>
  <r>
    <x v="878"/>
    <x v="15"/>
    <x v="13"/>
    <n v="49.4"/>
    <n v="296.39999999999998"/>
    <x v="36"/>
    <d v="2025-02-06T00:00:00"/>
    <x v="1"/>
    <x v="1"/>
    <x v="0"/>
    <x v="0"/>
    <x v="3"/>
    <x v="7"/>
    <x v="5"/>
    <x v="1"/>
  </r>
  <r>
    <x v="879"/>
    <x v="10"/>
    <x v="13"/>
    <n v="37"/>
    <n v="222"/>
    <x v="36"/>
    <d v="2025-02-09T00:00:00"/>
    <x v="2"/>
    <x v="1"/>
    <x v="2"/>
    <x v="0"/>
    <x v="3"/>
    <x v="2"/>
    <x v="5"/>
    <x v="2"/>
  </r>
  <r>
    <x v="880"/>
    <x v="2"/>
    <x v="1"/>
    <n v="83.7"/>
    <n v="167.4"/>
    <x v="36"/>
    <d v="2025-02-08T00:00:00"/>
    <x v="2"/>
    <x v="3"/>
    <x v="2"/>
    <x v="0"/>
    <x v="3"/>
    <x v="1"/>
    <x v="5"/>
    <x v="2"/>
  </r>
  <r>
    <x v="881"/>
    <x v="1"/>
    <x v="9"/>
    <n v="35.1"/>
    <n v="175.5"/>
    <x v="36"/>
    <d v="2025-02-07T00:00:00"/>
    <x v="2"/>
    <x v="0"/>
    <x v="0"/>
    <x v="0"/>
    <x v="3"/>
    <x v="3"/>
    <x v="5"/>
    <x v="2"/>
  </r>
  <r>
    <x v="882"/>
    <x v="16"/>
    <x v="8"/>
    <n v="74"/>
    <n v="592"/>
    <x v="36"/>
    <d v="2025-02-07T00:00:00"/>
    <x v="2"/>
    <x v="4"/>
    <x v="0"/>
    <x v="0"/>
    <x v="37"/>
    <x v="3"/>
    <x v="5"/>
    <x v="2"/>
  </r>
  <r>
    <x v="883"/>
    <x v="6"/>
    <x v="25"/>
    <n v="55.5"/>
    <n v="1332"/>
    <x v="36"/>
    <d v="2025-02-09T00:00:00"/>
    <x v="1"/>
    <x v="3"/>
    <x v="0"/>
    <x v="0"/>
    <x v="49"/>
    <x v="2"/>
    <x v="5"/>
    <x v="1"/>
  </r>
  <r>
    <x v="884"/>
    <x v="11"/>
    <x v="1"/>
    <n v="38.9"/>
    <n v="77.8"/>
    <x v="36"/>
    <d v="2025-02-08T00:00:00"/>
    <x v="2"/>
    <x v="1"/>
    <x v="2"/>
    <x v="0"/>
    <x v="25"/>
    <x v="1"/>
    <x v="5"/>
    <x v="2"/>
  </r>
  <r>
    <x v="885"/>
    <x v="16"/>
    <x v="1"/>
    <n v="64.599999999999994"/>
    <n v="129.19999999999999"/>
    <x v="36"/>
    <d v="2025-02-13T00:00:00"/>
    <x v="1"/>
    <x v="2"/>
    <x v="1"/>
    <x v="0"/>
    <x v="25"/>
    <x v="6"/>
    <x v="5"/>
    <x v="1"/>
  </r>
  <r>
    <x v="886"/>
    <x v="2"/>
    <x v="2"/>
    <n v="95.3"/>
    <n v="285.89999999999998"/>
    <x v="36"/>
    <d v="2025-02-07T00:00:00"/>
    <x v="1"/>
    <x v="0"/>
    <x v="0"/>
    <x v="0"/>
    <x v="5"/>
    <x v="3"/>
    <x v="5"/>
    <x v="1"/>
  </r>
  <r>
    <x v="887"/>
    <x v="13"/>
    <x v="2"/>
    <n v="25.8"/>
    <n v="77.400000000000006"/>
    <x v="36"/>
    <d v="2025-02-07T00:00:00"/>
    <x v="2"/>
    <x v="1"/>
    <x v="1"/>
    <x v="0"/>
    <x v="6"/>
    <x v="3"/>
    <x v="5"/>
    <x v="2"/>
  </r>
  <r>
    <x v="888"/>
    <x v="0"/>
    <x v="1"/>
    <n v="11.6"/>
    <n v="23.2"/>
    <x v="36"/>
    <d v="2025-02-10T00:00:00"/>
    <x v="2"/>
    <x v="1"/>
    <x v="1"/>
    <x v="0"/>
    <x v="6"/>
    <x v="5"/>
    <x v="5"/>
    <x v="2"/>
  </r>
  <r>
    <x v="889"/>
    <x v="7"/>
    <x v="0"/>
    <n v="52.3"/>
    <n v="52.3"/>
    <x v="36"/>
    <d v="2025-02-07T00:00:00"/>
    <x v="2"/>
    <x v="1"/>
    <x v="0"/>
    <x v="0"/>
    <x v="8"/>
    <x v="3"/>
    <x v="5"/>
    <x v="2"/>
  </r>
  <r>
    <x v="890"/>
    <x v="2"/>
    <x v="7"/>
    <n v="112.2"/>
    <n v="1122"/>
    <x v="36"/>
    <d v="2025-02-07T00:00:00"/>
    <x v="2"/>
    <x v="1"/>
    <x v="1"/>
    <x v="0"/>
    <x v="8"/>
    <x v="3"/>
    <x v="5"/>
    <x v="2"/>
  </r>
  <r>
    <x v="891"/>
    <x v="4"/>
    <x v="9"/>
    <n v="34.6"/>
    <n v="173"/>
    <x v="36"/>
    <d v="2025-02-08T00:00:00"/>
    <x v="1"/>
    <x v="2"/>
    <x v="0"/>
    <x v="0"/>
    <x v="8"/>
    <x v="1"/>
    <x v="5"/>
    <x v="1"/>
  </r>
  <r>
    <x v="892"/>
    <x v="14"/>
    <x v="12"/>
    <n v="20.100000000000001"/>
    <n v="80.400000000000006"/>
    <x v="36"/>
    <d v="2025-02-12T00:00:00"/>
    <x v="1"/>
    <x v="1"/>
    <x v="2"/>
    <x v="0"/>
    <x v="8"/>
    <x v="4"/>
    <x v="5"/>
    <x v="1"/>
  </r>
  <r>
    <x v="893"/>
    <x v="2"/>
    <x v="12"/>
    <n v="56.4"/>
    <n v="225.6"/>
    <x v="36"/>
    <d v="2025-02-08T00:00:00"/>
    <x v="2"/>
    <x v="2"/>
    <x v="0"/>
    <x v="0"/>
    <x v="10"/>
    <x v="1"/>
    <x v="5"/>
    <x v="2"/>
  </r>
  <r>
    <x v="894"/>
    <x v="13"/>
    <x v="11"/>
    <n v="55.3"/>
    <n v="497.7"/>
    <x v="36"/>
    <d v="2025-02-08T00:00:00"/>
    <x v="2"/>
    <x v="1"/>
    <x v="4"/>
    <x v="0"/>
    <x v="11"/>
    <x v="1"/>
    <x v="5"/>
    <x v="2"/>
  </r>
  <r>
    <x v="895"/>
    <x v="2"/>
    <x v="31"/>
    <n v="75.5"/>
    <n v="2114"/>
    <x v="36"/>
    <d v="2025-02-07T00:00:00"/>
    <x v="2"/>
    <x v="0"/>
    <x v="0"/>
    <x v="0"/>
    <x v="11"/>
    <x v="3"/>
    <x v="5"/>
    <x v="2"/>
  </r>
  <r>
    <x v="896"/>
    <x v="8"/>
    <x v="0"/>
    <n v="23.6"/>
    <n v="23.6"/>
    <x v="36"/>
    <d v="2025-02-11T00:00:00"/>
    <x v="2"/>
    <x v="0"/>
    <x v="0"/>
    <x v="0"/>
    <x v="19"/>
    <x v="0"/>
    <x v="5"/>
    <x v="2"/>
  </r>
  <r>
    <x v="897"/>
    <x v="9"/>
    <x v="1"/>
    <n v="70.7"/>
    <n v="141.4"/>
    <x v="36"/>
    <d v="2025-02-08T00:00:00"/>
    <x v="2"/>
    <x v="2"/>
    <x v="0"/>
    <x v="0"/>
    <x v="19"/>
    <x v="1"/>
    <x v="5"/>
    <x v="2"/>
  </r>
  <r>
    <x v="898"/>
    <x v="12"/>
    <x v="1"/>
    <n v="43.2"/>
    <n v="86.4"/>
    <x v="36"/>
    <d v="2025-02-07T00:00:00"/>
    <x v="2"/>
    <x v="2"/>
    <x v="0"/>
    <x v="0"/>
    <x v="31"/>
    <x v="3"/>
    <x v="5"/>
    <x v="2"/>
  </r>
  <r>
    <x v="899"/>
    <x v="9"/>
    <x v="11"/>
    <n v="70"/>
    <n v="630"/>
    <x v="36"/>
    <d v="2025-02-07T00:00:00"/>
    <x v="0"/>
    <x v="1"/>
    <x v="0"/>
    <x v="0"/>
    <x v="52"/>
    <x v="3"/>
    <x v="5"/>
    <x v="0"/>
  </r>
  <r>
    <x v="900"/>
    <x v="0"/>
    <x v="1"/>
    <n v="20.5"/>
    <n v="41"/>
    <x v="36"/>
    <d v="2025-02-08T00:00:00"/>
    <x v="2"/>
    <x v="2"/>
    <x v="4"/>
    <x v="0"/>
    <x v="13"/>
    <x v="1"/>
    <x v="5"/>
    <x v="2"/>
  </r>
  <r>
    <x v="901"/>
    <x v="0"/>
    <x v="12"/>
    <n v="29.1"/>
    <n v="116.4"/>
    <x v="36"/>
    <d v="2025-02-07T00:00:00"/>
    <x v="2"/>
    <x v="3"/>
    <x v="0"/>
    <x v="0"/>
    <x v="28"/>
    <x v="3"/>
    <x v="5"/>
    <x v="2"/>
  </r>
  <r>
    <x v="902"/>
    <x v="6"/>
    <x v="11"/>
    <n v="53.6"/>
    <n v="482.40000000000003"/>
    <x v="36"/>
    <d v="2025-02-07T00:00:00"/>
    <x v="1"/>
    <x v="2"/>
    <x v="1"/>
    <x v="0"/>
    <x v="3"/>
    <x v="3"/>
    <x v="5"/>
    <x v="1"/>
  </r>
  <r>
    <x v="903"/>
    <x v="6"/>
    <x v="9"/>
    <n v="72.3"/>
    <n v="361.5"/>
    <x v="36"/>
    <d v="2025-02-08T00:00:00"/>
    <x v="2"/>
    <x v="1"/>
    <x v="0"/>
    <x v="0"/>
    <x v="3"/>
    <x v="1"/>
    <x v="5"/>
    <x v="2"/>
  </r>
  <r>
    <x v="904"/>
    <x v="13"/>
    <x v="12"/>
    <n v="22.6"/>
    <n v="90.4"/>
    <x v="36"/>
    <d v="2025-02-09T00:00:00"/>
    <x v="3"/>
    <x v="0"/>
    <x v="1"/>
    <x v="0"/>
    <x v="3"/>
    <x v="2"/>
    <x v="5"/>
    <x v="3"/>
  </r>
  <r>
    <x v="905"/>
    <x v="9"/>
    <x v="1"/>
    <n v="44.2"/>
    <n v="88.4"/>
    <x v="36"/>
    <d v="2025-02-10T00:00:00"/>
    <x v="0"/>
    <x v="2"/>
    <x v="4"/>
    <x v="0"/>
    <x v="3"/>
    <x v="5"/>
    <x v="5"/>
    <x v="0"/>
  </r>
  <r>
    <x v="906"/>
    <x v="9"/>
    <x v="2"/>
    <n v="94.1"/>
    <n v="282.29999999999995"/>
    <x v="36"/>
    <d v="2025-02-19T00:00:00"/>
    <x v="2"/>
    <x v="2"/>
    <x v="2"/>
    <x v="0"/>
    <x v="3"/>
    <x v="10"/>
    <x v="5"/>
    <x v="2"/>
  </r>
  <r>
    <x v="907"/>
    <x v="8"/>
    <x v="2"/>
    <n v="17.899999999999999"/>
    <n v="53.699999999999996"/>
    <x v="36"/>
    <d v="2025-02-08T00:00:00"/>
    <x v="1"/>
    <x v="1"/>
    <x v="1"/>
    <x v="0"/>
    <x v="3"/>
    <x v="1"/>
    <x v="5"/>
    <x v="1"/>
  </r>
  <r>
    <x v="908"/>
    <x v="12"/>
    <x v="3"/>
    <n v="52.7"/>
    <n v="368.90000000000003"/>
    <x v="36"/>
    <d v="2025-02-07T00:00:00"/>
    <x v="1"/>
    <x v="1"/>
    <x v="1"/>
    <x v="0"/>
    <x v="3"/>
    <x v="3"/>
    <x v="5"/>
    <x v="1"/>
  </r>
  <r>
    <x v="909"/>
    <x v="8"/>
    <x v="0"/>
    <n v="36.799999999999997"/>
    <n v="36.799999999999997"/>
    <x v="36"/>
    <d v="2025-02-06T00:00:00"/>
    <x v="0"/>
    <x v="0"/>
    <x v="2"/>
    <x v="0"/>
    <x v="3"/>
    <x v="7"/>
    <x v="5"/>
    <x v="0"/>
  </r>
  <r>
    <x v="910"/>
    <x v="4"/>
    <x v="0"/>
    <n v="52.5"/>
    <n v="52.5"/>
    <x v="36"/>
    <d v="2025-02-07T00:00:00"/>
    <x v="1"/>
    <x v="0"/>
    <x v="1"/>
    <x v="0"/>
    <x v="6"/>
    <x v="3"/>
    <x v="5"/>
    <x v="1"/>
  </r>
  <r>
    <x v="911"/>
    <x v="2"/>
    <x v="1"/>
    <n v="133.80000000000001"/>
    <n v="267.60000000000002"/>
    <x v="36"/>
    <d v="2025-02-08T00:00:00"/>
    <x v="1"/>
    <x v="0"/>
    <x v="1"/>
    <x v="0"/>
    <x v="7"/>
    <x v="1"/>
    <x v="5"/>
    <x v="1"/>
  </r>
  <r>
    <x v="912"/>
    <x v="6"/>
    <x v="1"/>
    <n v="53.2"/>
    <n v="106.4"/>
    <x v="36"/>
    <d v="2025-02-08T00:00:00"/>
    <x v="1"/>
    <x v="0"/>
    <x v="0"/>
    <x v="0"/>
    <x v="17"/>
    <x v="1"/>
    <x v="5"/>
    <x v="1"/>
  </r>
  <r>
    <x v="913"/>
    <x v="14"/>
    <x v="13"/>
    <n v="18.7"/>
    <n v="112.19999999999999"/>
    <x v="36"/>
    <d v="2025-02-08T00:00:00"/>
    <x v="0"/>
    <x v="0"/>
    <x v="1"/>
    <x v="0"/>
    <x v="10"/>
    <x v="1"/>
    <x v="5"/>
    <x v="0"/>
  </r>
  <r>
    <x v="914"/>
    <x v="6"/>
    <x v="12"/>
    <n v="108.8"/>
    <n v="435.2"/>
    <x v="36"/>
    <d v="2025-02-07T00:00:00"/>
    <x v="2"/>
    <x v="3"/>
    <x v="2"/>
    <x v="0"/>
    <x v="11"/>
    <x v="3"/>
    <x v="5"/>
    <x v="2"/>
  </r>
  <r>
    <x v="915"/>
    <x v="15"/>
    <x v="9"/>
    <n v="38.5"/>
    <n v="192.5"/>
    <x v="36"/>
    <d v="2025-02-10T00:00:00"/>
    <x v="2"/>
    <x v="0"/>
    <x v="1"/>
    <x v="0"/>
    <x v="14"/>
    <x v="5"/>
    <x v="5"/>
    <x v="2"/>
  </r>
  <r>
    <x v="916"/>
    <x v="10"/>
    <x v="7"/>
    <n v="46.5"/>
    <n v="465"/>
    <x v="36"/>
    <d v="2025-02-08T00:00:00"/>
    <x v="1"/>
    <x v="2"/>
    <x v="1"/>
    <x v="0"/>
    <x v="2"/>
    <x v="1"/>
    <x v="5"/>
    <x v="1"/>
  </r>
  <r>
    <x v="917"/>
    <x v="2"/>
    <x v="2"/>
    <n v="75.8"/>
    <n v="227.39999999999998"/>
    <x v="36"/>
    <d v="2025-02-10T00:00:00"/>
    <x v="2"/>
    <x v="1"/>
    <x v="4"/>
    <x v="0"/>
    <x v="44"/>
    <x v="5"/>
    <x v="5"/>
    <x v="2"/>
  </r>
  <r>
    <x v="918"/>
    <x v="8"/>
    <x v="0"/>
    <n v="20.9"/>
    <n v="20.9"/>
    <x v="36"/>
    <d v="2025-02-10T00:00:00"/>
    <x v="1"/>
    <x v="0"/>
    <x v="0"/>
    <x v="0"/>
    <x v="22"/>
    <x v="5"/>
    <x v="5"/>
    <x v="1"/>
  </r>
  <r>
    <x v="919"/>
    <x v="18"/>
    <x v="2"/>
    <n v="47.4"/>
    <n v="142.19999999999999"/>
    <x v="36"/>
    <d v="2025-02-09T00:00:00"/>
    <x v="2"/>
    <x v="0"/>
    <x v="0"/>
    <x v="0"/>
    <x v="3"/>
    <x v="2"/>
    <x v="5"/>
    <x v="2"/>
  </r>
  <r>
    <x v="920"/>
    <x v="9"/>
    <x v="1"/>
    <n v="53.8"/>
    <n v="107.6"/>
    <x v="36"/>
    <d v="2025-02-07T00:00:00"/>
    <x v="0"/>
    <x v="0"/>
    <x v="1"/>
    <x v="0"/>
    <x v="3"/>
    <x v="3"/>
    <x v="5"/>
    <x v="0"/>
  </r>
  <r>
    <x v="921"/>
    <x v="8"/>
    <x v="2"/>
    <n v="24.6"/>
    <n v="73.800000000000011"/>
    <x v="36"/>
    <d v="2025-02-08T00:00:00"/>
    <x v="3"/>
    <x v="1"/>
    <x v="2"/>
    <x v="0"/>
    <x v="3"/>
    <x v="1"/>
    <x v="5"/>
    <x v="3"/>
  </r>
  <r>
    <x v="922"/>
    <x v="9"/>
    <x v="2"/>
    <n v="70.900000000000006"/>
    <n v="212.70000000000002"/>
    <x v="36"/>
    <d v="2025-02-11T00:00:00"/>
    <x v="2"/>
    <x v="2"/>
    <x v="2"/>
    <x v="0"/>
    <x v="3"/>
    <x v="0"/>
    <x v="5"/>
    <x v="2"/>
  </r>
  <r>
    <x v="923"/>
    <x v="17"/>
    <x v="2"/>
    <n v="31.9"/>
    <n v="95.699999999999989"/>
    <x v="36"/>
    <d v="2025-02-08T00:00:00"/>
    <x v="2"/>
    <x v="2"/>
    <x v="2"/>
    <x v="0"/>
    <x v="3"/>
    <x v="1"/>
    <x v="5"/>
    <x v="2"/>
  </r>
  <r>
    <x v="924"/>
    <x v="0"/>
    <x v="1"/>
    <n v="20.399999999999999"/>
    <n v="40.799999999999997"/>
    <x v="36"/>
    <d v="2025-02-10T00:00:00"/>
    <x v="1"/>
    <x v="3"/>
    <x v="2"/>
    <x v="0"/>
    <x v="3"/>
    <x v="5"/>
    <x v="5"/>
    <x v="1"/>
  </r>
  <r>
    <x v="925"/>
    <x v="8"/>
    <x v="1"/>
    <n v="18.600000000000001"/>
    <n v="37.200000000000003"/>
    <x v="36"/>
    <d v="2025-02-08T00:00:00"/>
    <x v="0"/>
    <x v="0"/>
    <x v="1"/>
    <x v="0"/>
    <x v="3"/>
    <x v="1"/>
    <x v="5"/>
    <x v="0"/>
  </r>
  <r>
    <x v="926"/>
    <x v="4"/>
    <x v="9"/>
    <n v="48.3"/>
    <n v="241.5"/>
    <x v="36"/>
    <d v="2025-02-08T00:00:00"/>
    <x v="2"/>
    <x v="1"/>
    <x v="0"/>
    <x v="0"/>
    <x v="3"/>
    <x v="1"/>
    <x v="5"/>
    <x v="2"/>
  </r>
  <r>
    <x v="927"/>
    <x v="0"/>
    <x v="12"/>
    <n v="27.7"/>
    <n v="110.8"/>
    <x v="36"/>
    <d v="2025-02-08T00:00:00"/>
    <x v="2"/>
    <x v="0"/>
    <x v="0"/>
    <x v="0"/>
    <x v="3"/>
    <x v="1"/>
    <x v="5"/>
    <x v="2"/>
  </r>
  <r>
    <x v="928"/>
    <x v="4"/>
    <x v="9"/>
    <n v="22.5"/>
    <n v="112.5"/>
    <x v="36"/>
    <d v="2025-02-08T00:00:00"/>
    <x v="2"/>
    <x v="4"/>
    <x v="2"/>
    <x v="0"/>
    <x v="3"/>
    <x v="1"/>
    <x v="5"/>
    <x v="2"/>
  </r>
  <r>
    <x v="929"/>
    <x v="17"/>
    <x v="9"/>
    <n v="21.6"/>
    <n v="108"/>
    <x v="36"/>
    <d v="2025-02-14T00:00:00"/>
    <x v="2"/>
    <x v="0"/>
    <x v="1"/>
    <x v="0"/>
    <x v="3"/>
    <x v="9"/>
    <x v="5"/>
    <x v="2"/>
  </r>
  <r>
    <x v="930"/>
    <x v="10"/>
    <x v="3"/>
    <n v="26.3"/>
    <n v="184.1"/>
    <x v="36"/>
    <d v="2025-02-06T00:00:00"/>
    <x v="2"/>
    <x v="2"/>
    <x v="1"/>
    <x v="0"/>
    <x v="3"/>
    <x v="7"/>
    <x v="5"/>
    <x v="2"/>
  </r>
  <r>
    <x v="931"/>
    <x v="6"/>
    <x v="3"/>
    <n v="103"/>
    <n v="721"/>
    <x v="37"/>
    <d v="2025-02-08T00:00:00"/>
    <x v="1"/>
    <x v="0"/>
    <x v="2"/>
    <x v="0"/>
    <x v="6"/>
    <x v="3"/>
    <x v="5"/>
    <x v="1"/>
  </r>
  <r>
    <x v="932"/>
    <x v="5"/>
    <x v="20"/>
    <n v="46.6"/>
    <n v="699"/>
    <x v="37"/>
    <d v="2025-02-08T00:00:00"/>
    <x v="2"/>
    <x v="0"/>
    <x v="1"/>
    <x v="0"/>
    <x v="6"/>
    <x v="3"/>
    <x v="5"/>
    <x v="2"/>
  </r>
  <r>
    <x v="933"/>
    <x v="0"/>
    <x v="9"/>
    <n v="32.200000000000003"/>
    <n v="161"/>
    <x v="37"/>
    <d v="2025-02-10T00:00:00"/>
    <x v="2"/>
    <x v="0"/>
    <x v="2"/>
    <x v="0"/>
    <x v="36"/>
    <x v="2"/>
    <x v="5"/>
    <x v="2"/>
  </r>
  <r>
    <x v="934"/>
    <x v="8"/>
    <x v="2"/>
    <n v="22"/>
    <n v="66"/>
    <x v="37"/>
    <d v="2025-02-14T00:00:00"/>
    <x v="1"/>
    <x v="1"/>
    <x v="0"/>
    <x v="0"/>
    <x v="7"/>
    <x v="6"/>
    <x v="5"/>
    <x v="1"/>
  </r>
  <r>
    <x v="935"/>
    <x v="0"/>
    <x v="1"/>
    <n v="25.2"/>
    <n v="50.4"/>
    <x v="37"/>
    <d v="2025-02-11T00:00:00"/>
    <x v="2"/>
    <x v="0"/>
    <x v="0"/>
    <x v="0"/>
    <x v="7"/>
    <x v="5"/>
    <x v="5"/>
    <x v="2"/>
  </r>
  <r>
    <x v="936"/>
    <x v="1"/>
    <x v="13"/>
    <n v="68.7"/>
    <n v="412.20000000000005"/>
    <x v="37"/>
    <d v="2025-02-09T00:00:00"/>
    <x v="1"/>
    <x v="4"/>
    <x v="0"/>
    <x v="0"/>
    <x v="8"/>
    <x v="1"/>
    <x v="5"/>
    <x v="1"/>
  </r>
  <r>
    <x v="937"/>
    <x v="0"/>
    <x v="2"/>
    <n v="22.2"/>
    <n v="66.599999999999994"/>
    <x v="37"/>
    <d v="2025-02-10T00:00:00"/>
    <x v="1"/>
    <x v="2"/>
    <x v="2"/>
    <x v="0"/>
    <x v="8"/>
    <x v="2"/>
    <x v="5"/>
    <x v="1"/>
  </r>
  <r>
    <x v="938"/>
    <x v="1"/>
    <x v="3"/>
    <n v="36"/>
    <n v="252"/>
    <x v="37"/>
    <d v="2025-02-08T00:00:00"/>
    <x v="2"/>
    <x v="1"/>
    <x v="0"/>
    <x v="0"/>
    <x v="8"/>
    <x v="3"/>
    <x v="5"/>
    <x v="2"/>
  </r>
  <r>
    <x v="939"/>
    <x v="18"/>
    <x v="0"/>
    <n v="50.6"/>
    <n v="50.6"/>
    <x v="37"/>
    <d v="2025-02-09T00:00:00"/>
    <x v="2"/>
    <x v="0"/>
    <x v="1"/>
    <x v="0"/>
    <x v="8"/>
    <x v="1"/>
    <x v="5"/>
    <x v="2"/>
  </r>
  <r>
    <x v="940"/>
    <x v="15"/>
    <x v="1"/>
    <n v="44.9"/>
    <n v="89.8"/>
    <x v="37"/>
    <d v="2025-02-09T00:00:00"/>
    <x v="1"/>
    <x v="0"/>
    <x v="1"/>
    <x v="0"/>
    <x v="8"/>
    <x v="1"/>
    <x v="5"/>
    <x v="1"/>
  </r>
  <r>
    <x v="941"/>
    <x v="6"/>
    <x v="2"/>
    <n v="71.599999999999994"/>
    <n v="214.79999999999998"/>
    <x v="37"/>
    <d v="2025-02-11T00:00:00"/>
    <x v="1"/>
    <x v="1"/>
    <x v="2"/>
    <x v="0"/>
    <x v="10"/>
    <x v="5"/>
    <x v="5"/>
    <x v="1"/>
  </r>
  <r>
    <x v="942"/>
    <x v="6"/>
    <x v="13"/>
    <n v="51.5"/>
    <n v="309"/>
    <x v="37"/>
    <d v="2025-02-09T00:00:00"/>
    <x v="0"/>
    <x v="4"/>
    <x v="0"/>
    <x v="0"/>
    <x v="11"/>
    <x v="1"/>
    <x v="5"/>
    <x v="0"/>
  </r>
  <r>
    <x v="943"/>
    <x v="7"/>
    <x v="9"/>
    <n v="55.5"/>
    <n v="277.5"/>
    <x v="37"/>
    <d v="2025-02-08T00:00:00"/>
    <x v="1"/>
    <x v="1"/>
    <x v="1"/>
    <x v="0"/>
    <x v="11"/>
    <x v="3"/>
    <x v="5"/>
    <x v="1"/>
  </r>
  <r>
    <x v="944"/>
    <x v="6"/>
    <x v="0"/>
    <n v="51.7"/>
    <n v="51.7"/>
    <x v="37"/>
    <d v="2025-02-21T00:00:00"/>
    <x v="1"/>
    <x v="2"/>
    <x v="0"/>
    <x v="0"/>
    <x v="19"/>
    <x v="12"/>
    <x v="5"/>
    <x v="1"/>
  </r>
  <r>
    <x v="945"/>
    <x v="8"/>
    <x v="38"/>
    <n v="45.5"/>
    <n v="955.5"/>
    <x v="37"/>
    <d v="2025-02-08T00:00:00"/>
    <x v="2"/>
    <x v="3"/>
    <x v="2"/>
    <x v="0"/>
    <x v="19"/>
    <x v="3"/>
    <x v="5"/>
    <x v="2"/>
  </r>
  <r>
    <x v="946"/>
    <x v="8"/>
    <x v="1"/>
    <n v="33.799999999999997"/>
    <n v="67.599999999999994"/>
    <x v="37"/>
    <d v="2025-02-13T00:00:00"/>
    <x v="2"/>
    <x v="3"/>
    <x v="0"/>
    <x v="0"/>
    <x v="20"/>
    <x v="4"/>
    <x v="5"/>
    <x v="2"/>
  </r>
  <r>
    <x v="947"/>
    <x v="3"/>
    <x v="2"/>
    <n v="76.5"/>
    <n v="229.5"/>
    <x v="37"/>
    <d v="2025-02-08T00:00:00"/>
    <x v="2"/>
    <x v="0"/>
    <x v="1"/>
    <x v="0"/>
    <x v="21"/>
    <x v="3"/>
    <x v="5"/>
    <x v="2"/>
  </r>
  <r>
    <x v="948"/>
    <x v="9"/>
    <x v="2"/>
    <n v="42.6"/>
    <n v="127.80000000000001"/>
    <x v="37"/>
    <d v="2025-02-13T00:00:00"/>
    <x v="2"/>
    <x v="2"/>
    <x v="2"/>
    <x v="0"/>
    <x v="2"/>
    <x v="4"/>
    <x v="5"/>
    <x v="2"/>
  </r>
  <r>
    <x v="949"/>
    <x v="6"/>
    <x v="2"/>
    <n v="44.1"/>
    <n v="132.30000000000001"/>
    <x v="37"/>
    <d v="2025-02-09T00:00:00"/>
    <x v="2"/>
    <x v="1"/>
    <x v="1"/>
    <x v="0"/>
    <x v="22"/>
    <x v="1"/>
    <x v="5"/>
    <x v="2"/>
  </r>
  <r>
    <x v="950"/>
    <x v="8"/>
    <x v="1"/>
    <n v="40.9"/>
    <n v="81.8"/>
    <x v="37"/>
    <d v="2025-02-11T00:00:00"/>
    <x v="1"/>
    <x v="0"/>
    <x v="0"/>
    <x v="0"/>
    <x v="3"/>
    <x v="5"/>
    <x v="5"/>
    <x v="1"/>
  </r>
  <r>
    <x v="951"/>
    <x v="9"/>
    <x v="2"/>
    <n v="49.1"/>
    <n v="147.30000000000001"/>
    <x v="37"/>
    <d v="2025-02-11T00:00:00"/>
    <x v="2"/>
    <x v="3"/>
    <x v="1"/>
    <x v="0"/>
    <x v="3"/>
    <x v="5"/>
    <x v="5"/>
    <x v="2"/>
  </r>
  <r>
    <x v="952"/>
    <x v="18"/>
    <x v="0"/>
    <n v="85.3"/>
    <n v="85.3"/>
    <x v="37"/>
    <d v="2025-02-11T00:00:00"/>
    <x v="1"/>
    <x v="1"/>
    <x v="1"/>
    <x v="0"/>
    <x v="3"/>
    <x v="5"/>
    <x v="5"/>
    <x v="1"/>
  </r>
  <r>
    <x v="953"/>
    <x v="6"/>
    <x v="12"/>
    <n v="43.1"/>
    <n v="172.4"/>
    <x v="38"/>
    <d v="2025-02-11T00:00:00"/>
    <x v="1"/>
    <x v="0"/>
    <x v="0"/>
    <x v="0"/>
    <x v="3"/>
    <x v="2"/>
    <x v="5"/>
    <x v="1"/>
  </r>
  <r>
    <x v="954"/>
    <x v="4"/>
    <x v="12"/>
    <n v="46.2"/>
    <n v="184.8"/>
    <x v="38"/>
    <d v="2025-02-09T00:00:00"/>
    <x v="1"/>
    <x v="2"/>
    <x v="0"/>
    <x v="0"/>
    <x v="3"/>
    <x v="3"/>
    <x v="5"/>
    <x v="1"/>
  </r>
  <r>
    <x v="955"/>
    <x v="1"/>
    <x v="0"/>
    <n v="74.400000000000006"/>
    <n v="74.400000000000006"/>
    <x v="38"/>
    <d v="2025-02-10T00:00:00"/>
    <x v="1"/>
    <x v="4"/>
    <x v="2"/>
    <x v="0"/>
    <x v="3"/>
    <x v="1"/>
    <x v="5"/>
    <x v="1"/>
  </r>
  <r>
    <x v="956"/>
    <x v="17"/>
    <x v="1"/>
    <n v="51.2"/>
    <n v="102.4"/>
    <x v="38"/>
    <d v="2025-02-09T00:00:00"/>
    <x v="1"/>
    <x v="1"/>
    <x v="0"/>
    <x v="0"/>
    <x v="3"/>
    <x v="3"/>
    <x v="5"/>
    <x v="1"/>
  </r>
  <r>
    <x v="957"/>
    <x v="14"/>
    <x v="12"/>
    <n v="11.8"/>
    <n v="47.2"/>
    <x v="38"/>
    <d v="2025-02-08T00:00:00"/>
    <x v="1"/>
    <x v="2"/>
    <x v="0"/>
    <x v="0"/>
    <x v="3"/>
    <x v="7"/>
    <x v="5"/>
    <x v="1"/>
  </r>
  <r>
    <x v="958"/>
    <x v="10"/>
    <x v="6"/>
    <n v="40.799999999999997"/>
    <n v="1101.5999999999999"/>
    <x v="38"/>
    <d v="2025-02-09T00:00:00"/>
    <x v="2"/>
    <x v="3"/>
    <x v="2"/>
    <x v="0"/>
    <x v="3"/>
    <x v="3"/>
    <x v="5"/>
    <x v="2"/>
  </r>
  <r>
    <x v="959"/>
    <x v="8"/>
    <x v="0"/>
    <n v="24.7"/>
    <n v="24.7"/>
    <x v="38"/>
    <d v="2025-02-10T00:00:00"/>
    <x v="2"/>
    <x v="2"/>
    <x v="1"/>
    <x v="0"/>
    <x v="3"/>
    <x v="1"/>
    <x v="5"/>
    <x v="2"/>
  </r>
  <r>
    <x v="960"/>
    <x v="8"/>
    <x v="3"/>
    <n v="22.1"/>
    <n v="154.70000000000002"/>
    <x v="38"/>
    <d v="2025-02-08T00:00:00"/>
    <x v="2"/>
    <x v="2"/>
    <x v="4"/>
    <x v="0"/>
    <x v="3"/>
    <x v="7"/>
    <x v="5"/>
    <x v="2"/>
  </r>
  <r>
    <x v="961"/>
    <x v="8"/>
    <x v="0"/>
    <n v="18.100000000000001"/>
    <n v="18.100000000000001"/>
    <x v="38"/>
    <d v="2025-02-12T00:00:00"/>
    <x v="1"/>
    <x v="3"/>
    <x v="2"/>
    <x v="0"/>
    <x v="3"/>
    <x v="5"/>
    <x v="5"/>
    <x v="1"/>
  </r>
  <r>
    <x v="962"/>
    <x v="17"/>
    <x v="1"/>
    <n v="58.8"/>
    <n v="117.6"/>
    <x v="38"/>
    <d v="2025-02-11T00:00:00"/>
    <x v="2"/>
    <x v="0"/>
    <x v="0"/>
    <x v="0"/>
    <x v="25"/>
    <x v="2"/>
    <x v="5"/>
    <x v="2"/>
  </r>
  <r>
    <x v="963"/>
    <x v="18"/>
    <x v="1"/>
    <n v="30.8"/>
    <n v="61.6"/>
    <x v="38"/>
    <d v="2025-02-09T00:00:00"/>
    <x v="2"/>
    <x v="0"/>
    <x v="0"/>
    <x v="0"/>
    <x v="6"/>
    <x v="3"/>
    <x v="5"/>
    <x v="2"/>
  </r>
  <r>
    <x v="964"/>
    <x v="0"/>
    <x v="1"/>
    <n v="12"/>
    <n v="24"/>
    <x v="38"/>
    <d v="2025-02-12T00:00:00"/>
    <x v="2"/>
    <x v="0"/>
    <x v="0"/>
    <x v="0"/>
    <x v="6"/>
    <x v="5"/>
    <x v="5"/>
    <x v="2"/>
  </r>
  <r>
    <x v="965"/>
    <x v="0"/>
    <x v="12"/>
    <n v="13.6"/>
    <n v="54.4"/>
    <x v="38"/>
    <d v="2025-02-11T00:00:00"/>
    <x v="1"/>
    <x v="2"/>
    <x v="0"/>
    <x v="0"/>
    <x v="6"/>
    <x v="2"/>
    <x v="5"/>
    <x v="1"/>
  </r>
  <r>
    <x v="966"/>
    <x v="0"/>
    <x v="0"/>
    <n v="17.899999999999999"/>
    <n v="17.899999999999999"/>
    <x v="38"/>
    <d v="2025-02-09T00:00:00"/>
    <x v="1"/>
    <x v="3"/>
    <x v="0"/>
    <x v="0"/>
    <x v="6"/>
    <x v="3"/>
    <x v="5"/>
    <x v="1"/>
  </r>
  <r>
    <x v="967"/>
    <x v="9"/>
    <x v="1"/>
    <n v="38.6"/>
    <n v="77.2"/>
    <x v="38"/>
    <d v="2025-02-12T00:00:00"/>
    <x v="2"/>
    <x v="4"/>
    <x v="0"/>
    <x v="0"/>
    <x v="7"/>
    <x v="5"/>
    <x v="5"/>
    <x v="2"/>
  </r>
  <r>
    <x v="968"/>
    <x v="5"/>
    <x v="9"/>
    <n v="32.700000000000003"/>
    <n v="163.5"/>
    <x v="38"/>
    <d v="2025-02-09T00:00:00"/>
    <x v="1"/>
    <x v="2"/>
    <x v="2"/>
    <x v="0"/>
    <x v="8"/>
    <x v="3"/>
    <x v="5"/>
    <x v="1"/>
  </r>
  <r>
    <x v="969"/>
    <x v="3"/>
    <x v="1"/>
    <n v="111.4"/>
    <n v="222.8"/>
    <x v="38"/>
    <d v="2025-02-09T00:00:00"/>
    <x v="2"/>
    <x v="1"/>
    <x v="0"/>
    <x v="0"/>
    <x v="8"/>
    <x v="3"/>
    <x v="5"/>
    <x v="2"/>
  </r>
  <r>
    <x v="970"/>
    <x v="2"/>
    <x v="13"/>
    <n v="80.3"/>
    <n v="481.79999999999995"/>
    <x v="38"/>
    <d v="2025-02-10T00:00:00"/>
    <x v="2"/>
    <x v="1"/>
    <x v="0"/>
    <x v="0"/>
    <x v="8"/>
    <x v="1"/>
    <x v="5"/>
    <x v="2"/>
  </r>
  <r>
    <x v="971"/>
    <x v="6"/>
    <x v="1"/>
    <n v="58.9"/>
    <n v="117.8"/>
    <x v="38"/>
    <d v="2025-02-09T00:00:00"/>
    <x v="1"/>
    <x v="1"/>
    <x v="0"/>
    <x v="0"/>
    <x v="8"/>
    <x v="3"/>
    <x v="5"/>
    <x v="1"/>
  </r>
  <r>
    <x v="972"/>
    <x v="6"/>
    <x v="2"/>
    <n v="51.9"/>
    <n v="155.69999999999999"/>
    <x v="38"/>
    <d v="2025-02-10T00:00:00"/>
    <x v="2"/>
    <x v="1"/>
    <x v="4"/>
    <x v="0"/>
    <x v="8"/>
    <x v="1"/>
    <x v="5"/>
    <x v="2"/>
  </r>
  <r>
    <x v="973"/>
    <x v="2"/>
    <x v="2"/>
    <n v="50.3"/>
    <n v="150.89999999999998"/>
    <x v="38"/>
    <d v="2025-02-09T00:00:00"/>
    <x v="1"/>
    <x v="2"/>
    <x v="0"/>
    <x v="0"/>
    <x v="17"/>
    <x v="3"/>
    <x v="5"/>
    <x v="1"/>
  </r>
  <r>
    <x v="974"/>
    <x v="11"/>
    <x v="13"/>
    <n v="45"/>
    <n v="270"/>
    <x v="38"/>
    <d v="2025-02-14T00:00:00"/>
    <x v="2"/>
    <x v="3"/>
    <x v="0"/>
    <x v="0"/>
    <x v="9"/>
    <x v="4"/>
    <x v="5"/>
    <x v="2"/>
  </r>
  <r>
    <x v="975"/>
    <x v="10"/>
    <x v="13"/>
    <n v="44.7"/>
    <n v="268.20000000000005"/>
    <x v="38"/>
    <d v="2025-02-10T00:00:00"/>
    <x v="2"/>
    <x v="2"/>
    <x v="0"/>
    <x v="0"/>
    <x v="11"/>
    <x v="1"/>
    <x v="5"/>
    <x v="2"/>
  </r>
  <r>
    <x v="976"/>
    <x v="18"/>
    <x v="20"/>
    <n v="33"/>
    <n v="495"/>
    <x v="38"/>
    <d v="2025-02-09T00:00:00"/>
    <x v="2"/>
    <x v="2"/>
    <x v="0"/>
    <x v="0"/>
    <x v="11"/>
    <x v="3"/>
    <x v="5"/>
    <x v="2"/>
  </r>
  <r>
    <x v="977"/>
    <x v="1"/>
    <x v="9"/>
    <n v="44.9"/>
    <n v="224.5"/>
    <x v="38"/>
    <d v="2025-02-11T00:00:00"/>
    <x v="2"/>
    <x v="2"/>
    <x v="2"/>
    <x v="0"/>
    <x v="18"/>
    <x v="2"/>
    <x v="5"/>
    <x v="2"/>
  </r>
  <r>
    <x v="978"/>
    <x v="10"/>
    <x v="1"/>
    <n v="34.6"/>
    <n v="69.2"/>
    <x v="38"/>
    <d v="2025-02-12T00:00:00"/>
    <x v="2"/>
    <x v="0"/>
    <x v="1"/>
    <x v="0"/>
    <x v="19"/>
    <x v="5"/>
    <x v="5"/>
    <x v="2"/>
  </r>
  <r>
    <x v="979"/>
    <x v="7"/>
    <x v="3"/>
    <n v="47.1"/>
    <n v="329.7"/>
    <x v="38"/>
    <d v="2025-02-13T00:00:00"/>
    <x v="2"/>
    <x v="0"/>
    <x v="0"/>
    <x v="0"/>
    <x v="13"/>
    <x v="0"/>
    <x v="5"/>
    <x v="2"/>
  </r>
  <r>
    <x v="980"/>
    <x v="4"/>
    <x v="9"/>
    <n v="26.1"/>
    <n v="130.5"/>
    <x v="38"/>
    <d v="2025-02-13T00:00:00"/>
    <x v="1"/>
    <x v="0"/>
    <x v="2"/>
    <x v="0"/>
    <x v="21"/>
    <x v="0"/>
    <x v="5"/>
    <x v="1"/>
  </r>
  <r>
    <x v="981"/>
    <x v="12"/>
    <x v="9"/>
    <n v="66.8"/>
    <n v="334"/>
    <x v="38"/>
    <d v="2025-02-11T00:00:00"/>
    <x v="2"/>
    <x v="0"/>
    <x v="0"/>
    <x v="0"/>
    <x v="21"/>
    <x v="2"/>
    <x v="5"/>
    <x v="2"/>
  </r>
  <r>
    <x v="982"/>
    <x v="2"/>
    <x v="1"/>
    <n v="167.9"/>
    <n v="335.8"/>
    <x v="38"/>
    <d v="2025-02-09T00:00:00"/>
    <x v="2"/>
    <x v="3"/>
    <x v="2"/>
    <x v="0"/>
    <x v="21"/>
    <x v="3"/>
    <x v="5"/>
    <x v="2"/>
  </r>
  <r>
    <x v="983"/>
    <x v="10"/>
    <x v="11"/>
    <n v="34.6"/>
    <n v="311.40000000000003"/>
    <x v="38"/>
    <d v="2025-02-09T00:00:00"/>
    <x v="2"/>
    <x v="2"/>
    <x v="1"/>
    <x v="0"/>
    <x v="21"/>
    <x v="3"/>
    <x v="5"/>
    <x v="2"/>
  </r>
  <r>
    <x v="984"/>
    <x v="8"/>
    <x v="2"/>
    <n v="35.1"/>
    <n v="105.30000000000001"/>
    <x v="39"/>
    <d v="2025-02-13T00:00:00"/>
    <x v="1"/>
    <x v="4"/>
    <x v="2"/>
    <x v="0"/>
    <x v="1"/>
    <x v="5"/>
    <x v="6"/>
    <x v="1"/>
  </r>
  <r>
    <x v="985"/>
    <x v="6"/>
    <x v="12"/>
    <n v="104.5"/>
    <n v="418"/>
    <x v="39"/>
    <d v="2025-02-10T00:00:00"/>
    <x v="1"/>
    <x v="1"/>
    <x v="1"/>
    <x v="0"/>
    <x v="1"/>
    <x v="3"/>
    <x v="6"/>
    <x v="1"/>
  </r>
  <r>
    <x v="986"/>
    <x v="8"/>
    <x v="0"/>
    <n v="37.9"/>
    <n v="37.9"/>
    <x v="39"/>
    <d v="2025-02-11T00:00:00"/>
    <x v="0"/>
    <x v="1"/>
    <x v="2"/>
    <x v="0"/>
    <x v="2"/>
    <x v="1"/>
    <x v="6"/>
    <x v="0"/>
  </r>
  <r>
    <x v="987"/>
    <x v="4"/>
    <x v="2"/>
    <n v="25.5"/>
    <n v="76.5"/>
    <x v="39"/>
    <d v="2025-02-12T00:00:00"/>
    <x v="1"/>
    <x v="3"/>
    <x v="0"/>
    <x v="0"/>
    <x v="2"/>
    <x v="2"/>
    <x v="6"/>
    <x v="1"/>
  </r>
  <r>
    <x v="988"/>
    <x v="0"/>
    <x v="2"/>
    <n v="32"/>
    <n v="96"/>
    <x v="39"/>
    <d v="2025-02-13T00:00:00"/>
    <x v="2"/>
    <x v="1"/>
    <x v="0"/>
    <x v="0"/>
    <x v="22"/>
    <x v="5"/>
    <x v="6"/>
    <x v="2"/>
  </r>
  <r>
    <x v="989"/>
    <x v="1"/>
    <x v="0"/>
    <n v="47.1"/>
    <n v="47.1"/>
    <x v="39"/>
    <d v="2025-02-10T00:00:00"/>
    <x v="2"/>
    <x v="0"/>
    <x v="0"/>
    <x v="0"/>
    <x v="34"/>
    <x v="3"/>
    <x v="6"/>
    <x v="2"/>
  </r>
  <r>
    <x v="990"/>
    <x v="6"/>
    <x v="1"/>
    <n v="50.6"/>
    <n v="101.2"/>
    <x v="39"/>
    <d v="2025-02-15T00:00:00"/>
    <x v="0"/>
    <x v="0"/>
    <x v="0"/>
    <x v="0"/>
    <x v="3"/>
    <x v="4"/>
    <x v="6"/>
    <x v="0"/>
  </r>
  <r>
    <x v="991"/>
    <x v="6"/>
    <x v="9"/>
    <n v="81.7"/>
    <n v="408.5"/>
    <x v="39"/>
    <d v="2025-02-10T00:00:00"/>
    <x v="2"/>
    <x v="1"/>
    <x v="2"/>
    <x v="0"/>
    <x v="3"/>
    <x v="3"/>
    <x v="6"/>
    <x v="2"/>
  </r>
  <r>
    <x v="992"/>
    <x v="5"/>
    <x v="1"/>
    <n v="50.7"/>
    <n v="101.4"/>
    <x v="39"/>
    <d v="2025-02-10T00:00:00"/>
    <x v="3"/>
    <x v="2"/>
    <x v="2"/>
    <x v="0"/>
    <x v="3"/>
    <x v="3"/>
    <x v="6"/>
    <x v="3"/>
  </r>
  <r>
    <x v="993"/>
    <x v="2"/>
    <x v="10"/>
    <n v="67.3"/>
    <n v="1278.7"/>
    <x v="39"/>
    <d v="2025-02-13T00:00:00"/>
    <x v="2"/>
    <x v="2"/>
    <x v="0"/>
    <x v="0"/>
    <x v="3"/>
    <x v="5"/>
    <x v="6"/>
    <x v="2"/>
  </r>
  <r>
    <x v="994"/>
    <x v="2"/>
    <x v="12"/>
    <n v="64.8"/>
    <n v="259.2"/>
    <x v="39"/>
    <d v="2025-02-12T00:00:00"/>
    <x v="2"/>
    <x v="3"/>
    <x v="0"/>
    <x v="0"/>
    <x v="3"/>
    <x v="2"/>
    <x v="6"/>
    <x v="2"/>
  </r>
  <r>
    <x v="995"/>
    <x v="5"/>
    <x v="32"/>
    <n v="61.3"/>
    <n v="1348.6"/>
    <x v="39"/>
    <d v="2025-02-10T00:00:00"/>
    <x v="2"/>
    <x v="0"/>
    <x v="2"/>
    <x v="0"/>
    <x v="3"/>
    <x v="3"/>
    <x v="6"/>
    <x v="2"/>
  </r>
  <r>
    <x v="996"/>
    <x v="14"/>
    <x v="0"/>
    <n v="32.9"/>
    <n v="32.9"/>
    <x v="39"/>
    <d v="2025-02-12T00:00:00"/>
    <x v="2"/>
    <x v="4"/>
    <x v="0"/>
    <x v="0"/>
    <x v="3"/>
    <x v="2"/>
    <x v="6"/>
    <x v="2"/>
  </r>
  <r>
    <x v="997"/>
    <x v="6"/>
    <x v="1"/>
    <n v="100.8"/>
    <n v="201.6"/>
    <x v="39"/>
    <d v="2025-02-12T00:00:00"/>
    <x v="2"/>
    <x v="0"/>
    <x v="0"/>
    <x v="0"/>
    <x v="3"/>
    <x v="2"/>
    <x v="6"/>
    <x v="2"/>
  </r>
  <r>
    <x v="998"/>
    <x v="8"/>
    <x v="12"/>
    <n v="25.1"/>
    <n v="100.4"/>
    <x v="39"/>
    <d v="2025-02-11T00:00:00"/>
    <x v="2"/>
    <x v="1"/>
    <x v="0"/>
    <x v="0"/>
    <x v="3"/>
    <x v="1"/>
    <x v="6"/>
    <x v="2"/>
  </r>
  <r>
    <x v="999"/>
    <x v="17"/>
    <x v="0"/>
    <n v="48.5"/>
    <n v="48.5"/>
    <x v="39"/>
    <d v="2025-02-10T00:00:00"/>
    <x v="2"/>
    <x v="0"/>
    <x v="1"/>
    <x v="0"/>
    <x v="3"/>
    <x v="3"/>
    <x v="6"/>
    <x v="2"/>
  </r>
  <r>
    <x v="1000"/>
    <x v="7"/>
    <x v="1"/>
    <n v="33.6"/>
    <n v="67.2"/>
    <x v="39"/>
    <d v="2025-02-13T00:00:00"/>
    <x v="2"/>
    <x v="2"/>
    <x v="2"/>
    <x v="0"/>
    <x v="3"/>
    <x v="5"/>
    <x v="6"/>
    <x v="2"/>
  </r>
  <r>
    <x v="1001"/>
    <x v="8"/>
    <x v="0"/>
    <n v="39.299999999999997"/>
    <n v="39.299999999999997"/>
    <x v="39"/>
    <d v="2025-02-20T00:00:00"/>
    <x v="2"/>
    <x v="1"/>
    <x v="1"/>
    <x v="0"/>
    <x v="49"/>
    <x v="11"/>
    <x v="6"/>
    <x v="2"/>
  </r>
  <r>
    <x v="1002"/>
    <x v="4"/>
    <x v="7"/>
    <n v="48.8"/>
    <n v="488"/>
    <x v="39"/>
    <d v="2025-02-11T00:00:00"/>
    <x v="2"/>
    <x v="3"/>
    <x v="1"/>
    <x v="0"/>
    <x v="25"/>
    <x v="1"/>
    <x v="6"/>
    <x v="2"/>
  </r>
  <r>
    <x v="1003"/>
    <x v="6"/>
    <x v="8"/>
    <n v="72.8"/>
    <n v="582.4"/>
    <x v="39"/>
    <d v="2025-02-11T00:00:00"/>
    <x v="1"/>
    <x v="1"/>
    <x v="2"/>
    <x v="0"/>
    <x v="5"/>
    <x v="1"/>
    <x v="6"/>
    <x v="1"/>
  </r>
  <r>
    <x v="1004"/>
    <x v="10"/>
    <x v="8"/>
    <n v="46.2"/>
    <n v="369.6"/>
    <x v="39"/>
    <d v="2025-02-10T00:00:00"/>
    <x v="1"/>
    <x v="3"/>
    <x v="4"/>
    <x v="0"/>
    <x v="5"/>
    <x v="3"/>
    <x v="6"/>
    <x v="1"/>
  </r>
  <r>
    <x v="1005"/>
    <x v="4"/>
    <x v="1"/>
    <n v="20.7"/>
    <n v="41.4"/>
    <x v="39"/>
    <d v="2025-02-10T00:00:00"/>
    <x v="2"/>
    <x v="2"/>
    <x v="3"/>
    <x v="0"/>
    <x v="6"/>
    <x v="3"/>
    <x v="6"/>
    <x v="2"/>
  </r>
  <r>
    <x v="1006"/>
    <x v="0"/>
    <x v="0"/>
    <n v="35.700000000000003"/>
    <n v="35.700000000000003"/>
    <x v="39"/>
    <d v="2025-02-11T00:00:00"/>
    <x v="2"/>
    <x v="3"/>
    <x v="0"/>
    <x v="0"/>
    <x v="6"/>
    <x v="1"/>
    <x v="6"/>
    <x v="2"/>
  </r>
  <r>
    <x v="1007"/>
    <x v="2"/>
    <x v="27"/>
    <n v="166.2"/>
    <n v="2659.2"/>
    <x v="39"/>
    <d v="2025-02-11T00:00:00"/>
    <x v="0"/>
    <x v="2"/>
    <x v="0"/>
    <x v="0"/>
    <x v="7"/>
    <x v="1"/>
    <x v="6"/>
    <x v="0"/>
  </r>
  <r>
    <x v="1008"/>
    <x v="6"/>
    <x v="12"/>
    <n v="85.8"/>
    <n v="343.2"/>
    <x v="39"/>
    <d v="2025-02-10T00:00:00"/>
    <x v="2"/>
    <x v="1"/>
    <x v="1"/>
    <x v="0"/>
    <x v="7"/>
    <x v="3"/>
    <x v="6"/>
    <x v="2"/>
  </r>
  <r>
    <x v="1009"/>
    <x v="8"/>
    <x v="2"/>
    <n v="26"/>
    <n v="78"/>
    <x v="39"/>
    <d v="2025-02-11T00:00:00"/>
    <x v="3"/>
    <x v="1"/>
    <x v="0"/>
    <x v="0"/>
    <x v="7"/>
    <x v="1"/>
    <x v="6"/>
    <x v="3"/>
  </r>
  <r>
    <x v="1010"/>
    <x v="2"/>
    <x v="15"/>
    <n v="116.6"/>
    <n v="1515.8"/>
    <x v="39"/>
    <d v="2025-02-12T00:00:00"/>
    <x v="2"/>
    <x v="0"/>
    <x v="0"/>
    <x v="0"/>
    <x v="8"/>
    <x v="2"/>
    <x v="6"/>
    <x v="2"/>
  </r>
  <r>
    <x v="1011"/>
    <x v="9"/>
    <x v="3"/>
    <n v="53.9"/>
    <n v="377.3"/>
    <x v="39"/>
    <d v="2025-02-12T00:00:00"/>
    <x v="3"/>
    <x v="0"/>
    <x v="2"/>
    <x v="0"/>
    <x v="8"/>
    <x v="2"/>
    <x v="6"/>
    <x v="3"/>
  </r>
  <r>
    <x v="1012"/>
    <x v="12"/>
    <x v="9"/>
    <n v="72.3"/>
    <n v="361.5"/>
    <x v="39"/>
    <d v="2025-02-11T00:00:00"/>
    <x v="0"/>
    <x v="2"/>
    <x v="2"/>
    <x v="0"/>
    <x v="8"/>
    <x v="1"/>
    <x v="6"/>
    <x v="0"/>
  </r>
  <r>
    <x v="1013"/>
    <x v="5"/>
    <x v="1"/>
    <n v="31.4"/>
    <n v="62.8"/>
    <x v="39"/>
    <d v="2025-02-11T00:00:00"/>
    <x v="2"/>
    <x v="0"/>
    <x v="0"/>
    <x v="0"/>
    <x v="8"/>
    <x v="1"/>
    <x v="6"/>
    <x v="2"/>
  </r>
  <r>
    <x v="1014"/>
    <x v="13"/>
    <x v="1"/>
    <n v="53.1"/>
    <n v="106.2"/>
    <x v="39"/>
    <d v="2025-02-12T00:00:00"/>
    <x v="1"/>
    <x v="1"/>
    <x v="0"/>
    <x v="0"/>
    <x v="8"/>
    <x v="2"/>
    <x v="6"/>
    <x v="1"/>
  </r>
  <r>
    <x v="1015"/>
    <x v="2"/>
    <x v="12"/>
    <n v="56.2"/>
    <n v="224.8"/>
    <x v="39"/>
    <d v="2025-02-10T00:00:00"/>
    <x v="2"/>
    <x v="0"/>
    <x v="0"/>
    <x v="0"/>
    <x v="8"/>
    <x v="3"/>
    <x v="6"/>
    <x v="2"/>
  </r>
  <r>
    <x v="1016"/>
    <x v="1"/>
    <x v="7"/>
    <n v="77.3"/>
    <n v="773"/>
    <x v="39"/>
    <d v="2025-02-10T00:00:00"/>
    <x v="2"/>
    <x v="2"/>
    <x v="0"/>
    <x v="0"/>
    <x v="11"/>
    <x v="3"/>
    <x v="6"/>
    <x v="2"/>
  </r>
  <r>
    <x v="1017"/>
    <x v="6"/>
    <x v="15"/>
    <n v="57.8"/>
    <n v="751.4"/>
    <x v="39"/>
    <d v="2025-02-10T00:00:00"/>
    <x v="0"/>
    <x v="0"/>
    <x v="0"/>
    <x v="0"/>
    <x v="53"/>
    <x v="3"/>
    <x v="6"/>
    <x v="0"/>
  </r>
  <r>
    <x v="1018"/>
    <x v="12"/>
    <x v="20"/>
    <n v="42.1"/>
    <n v="631.5"/>
    <x v="39"/>
    <d v="2025-02-11T00:00:00"/>
    <x v="2"/>
    <x v="1"/>
    <x v="1"/>
    <x v="0"/>
    <x v="53"/>
    <x v="1"/>
    <x v="6"/>
    <x v="2"/>
  </r>
  <r>
    <x v="1019"/>
    <x v="8"/>
    <x v="11"/>
    <n v="22.8"/>
    <n v="205.20000000000002"/>
    <x v="39"/>
    <d v="2025-02-13T00:00:00"/>
    <x v="1"/>
    <x v="2"/>
    <x v="2"/>
    <x v="0"/>
    <x v="19"/>
    <x v="5"/>
    <x v="6"/>
    <x v="1"/>
  </r>
  <r>
    <x v="1020"/>
    <x v="2"/>
    <x v="2"/>
    <n v="171.1"/>
    <n v="513.29999999999995"/>
    <x v="40"/>
    <d v="2025-02-17T00:00:00"/>
    <x v="2"/>
    <x v="2"/>
    <x v="1"/>
    <x v="0"/>
    <x v="19"/>
    <x v="6"/>
    <x v="6"/>
    <x v="2"/>
  </r>
  <r>
    <x v="1021"/>
    <x v="8"/>
    <x v="0"/>
    <n v="28"/>
    <n v="28"/>
    <x v="40"/>
    <d v="2025-02-12T00:00:00"/>
    <x v="1"/>
    <x v="2"/>
    <x v="2"/>
    <x v="0"/>
    <x v="21"/>
    <x v="1"/>
    <x v="6"/>
    <x v="1"/>
  </r>
  <r>
    <x v="1022"/>
    <x v="6"/>
    <x v="3"/>
    <n v="50.2"/>
    <n v="351.40000000000003"/>
    <x v="40"/>
    <d v="2025-02-12T00:00:00"/>
    <x v="1"/>
    <x v="2"/>
    <x v="0"/>
    <x v="0"/>
    <x v="21"/>
    <x v="1"/>
    <x v="6"/>
    <x v="1"/>
  </r>
  <r>
    <x v="1023"/>
    <x v="6"/>
    <x v="1"/>
    <n v="56"/>
    <n v="112"/>
    <x v="40"/>
    <d v="2025-02-10T00:00:00"/>
    <x v="1"/>
    <x v="0"/>
    <x v="2"/>
    <x v="0"/>
    <x v="22"/>
    <x v="7"/>
    <x v="6"/>
    <x v="1"/>
  </r>
  <r>
    <x v="1024"/>
    <x v="1"/>
    <x v="1"/>
    <n v="38.299999999999997"/>
    <n v="76.599999999999994"/>
    <x v="40"/>
    <d v="2025-02-11T00:00:00"/>
    <x v="2"/>
    <x v="1"/>
    <x v="0"/>
    <x v="0"/>
    <x v="3"/>
    <x v="3"/>
    <x v="6"/>
    <x v="2"/>
  </r>
  <r>
    <x v="1025"/>
    <x v="0"/>
    <x v="9"/>
    <n v="22.3"/>
    <n v="111.5"/>
    <x v="40"/>
    <d v="2025-02-14T00:00:00"/>
    <x v="2"/>
    <x v="2"/>
    <x v="1"/>
    <x v="0"/>
    <x v="3"/>
    <x v="5"/>
    <x v="6"/>
    <x v="2"/>
  </r>
  <r>
    <x v="1026"/>
    <x v="0"/>
    <x v="2"/>
    <n v="22.3"/>
    <n v="66.900000000000006"/>
    <x v="40"/>
    <d v="2025-02-13T00:00:00"/>
    <x v="2"/>
    <x v="2"/>
    <x v="0"/>
    <x v="0"/>
    <x v="3"/>
    <x v="2"/>
    <x v="6"/>
    <x v="2"/>
  </r>
  <r>
    <x v="1027"/>
    <x v="1"/>
    <x v="0"/>
    <n v="32.9"/>
    <n v="32.9"/>
    <x v="40"/>
    <d v="2025-02-15T00:00:00"/>
    <x v="2"/>
    <x v="0"/>
    <x v="0"/>
    <x v="0"/>
    <x v="3"/>
    <x v="0"/>
    <x v="6"/>
    <x v="2"/>
  </r>
  <r>
    <x v="1028"/>
    <x v="10"/>
    <x v="2"/>
    <n v="31.9"/>
    <n v="95.699999999999989"/>
    <x v="40"/>
    <d v="2025-02-15T00:00:00"/>
    <x v="2"/>
    <x v="0"/>
    <x v="0"/>
    <x v="0"/>
    <x v="3"/>
    <x v="0"/>
    <x v="6"/>
    <x v="2"/>
  </r>
  <r>
    <x v="1029"/>
    <x v="6"/>
    <x v="1"/>
    <n v="94"/>
    <n v="188"/>
    <x v="40"/>
    <d v="2025-02-11T00:00:00"/>
    <x v="1"/>
    <x v="2"/>
    <x v="2"/>
    <x v="0"/>
    <x v="3"/>
    <x v="3"/>
    <x v="6"/>
    <x v="1"/>
  </r>
  <r>
    <x v="1030"/>
    <x v="10"/>
    <x v="1"/>
    <n v="30.7"/>
    <n v="61.4"/>
    <x v="40"/>
    <d v="2025-02-11T00:00:00"/>
    <x v="2"/>
    <x v="0"/>
    <x v="1"/>
    <x v="0"/>
    <x v="3"/>
    <x v="3"/>
    <x v="6"/>
    <x v="2"/>
  </r>
  <r>
    <x v="1031"/>
    <x v="5"/>
    <x v="9"/>
    <n v="90.5"/>
    <n v="452.5"/>
    <x v="40"/>
    <d v="2025-02-17T00:00:00"/>
    <x v="1"/>
    <x v="0"/>
    <x v="2"/>
    <x v="0"/>
    <x v="3"/>
    <x v="6"/>
    <x v="6"/>
    <x v="1"/>
  </r>
  <r>
    <x v="1032"/>
    <x v="8"/>
    <x v="9"/>
    <n v="25.3"/>
    <n v="126.5"/>
    <x v="40"/>
    <d v="2025-02-14T00:00:00"/>
    <x v="2"/>
    <x v="0"/>
    <x v="2"/>
    <x v="0"/>
    <x v="3"/>
    <x v="5"/>
    <x v="6"/>
    <x v="2"/>
  </r>
  <r>
    <x v="1033"/>
    <x v="6"/>
    <x v="2"/>
    <n v="58.1"/>
    <n v="174.3"/>
    <x v="40"/>
    <d v="2025-02-14T00:00:00"/>
    <x v="0"/>
    <x v="0"/>
    <x v="2"/>
    <x v="0"/>
    <x v="3"/>
    <x v="5"/>
    <x v="6"/>
    <x v="0"/>
  </r>
  <r>
    <x v="1034"/>
    <x v="2"/>
    <x v="2"/>
    <n v="74.900000000000006"/>
    <n v="224.70000000000002"/>
    <x v="40"/>
    <d v="2025-02-11T00:00:00"/>
    <x v="2"/>
    <x v="4"/>
    <x v="0"/>
    <x v="0"/>
    <x v="3"/>
    <x v="3"/>
    <x v="6"/>
    <x v="2"/>
  </r>
  <r>
    <x v="1035"/>
    <x v="4"/>
    <x v="1"/>
    <n v="32.5"/>
    <n v="65"/>
    <x v="40"/>
    <d v="2025-02-11T00:00:00"/>
    <x v="1"/>
    <x v="2"/>
    <x v="2"/>
    <x v="0"/>
    <x v="43"/>
    <x v="3"/>
    <x v="6"/>
    <x v="1"/>
  </r>
  <r>
    <x v="1036"/>
    <x v="4"/>
    <x v="9"/>
    <n v="62"/>
    <n v="310"/>
    <x v="40"/>
    <d v="2025-02-11T00:00:00"/>
    <x v="1"/>
    <x v="4"/>
    <x v="2"/>
    <x v="0"/>
    <x v="25"/>
    <x v="3"/>
    <x v="6"/>
    <x v="1"/>
  </r>
  <r>
    <x v="1037"/>
    <x v="13"/>
    <x v="13"/>
    <n v="28.9"/>
    <n v="173.39999999999998"/>
    <x v="40"/>
    <d v="2025-02-13T00:00:00"/>
    <x v="2"/>
    <x v="0"/>
    <x v="1"/>
    <x v="0"/>
    <x v="6"/>
    <x v="2"/>
    <x v="6"/>
    <x v="2"/>
  </r>
  <r>
    <x v="1038"/>
    <x v="6"/>
    <x v="8"/>
    <n v="42.8"/>
    <n v="342.4"/>
    <x v="40"/>
    <d v="2025-02-12T00:00:00"/>
    <x v="2"/>
    <x v="0"/>
    <x v="2"/>
    <x v="0"/>
    <x v="6"/>
    <x v="1"/>
    <x v="6"/>
    <x v="2"/>
  </r>
  <r>
    <x v="1039"/>
    <x v="8"/>
    <x v="8"/>
    <n v="39.4"/>
    <n v="315.2"/>
    <x v="40"/>
    <d v="2025-02-12T00:00:00"/>
    <x v="1"/>
    <x v="0"/>
    <x v="0"/>
    <x v="0"/>
    <x v="36"/>
    <x v="1"/>
    <x v="6"/>
    <x v="1"/>
  </r>
  <r>
    <x v="1040"/>
    <x v="18"/>
    <x v="2"/>
    <n v="66.400000000000006"/>
    <n v="199.20000000000002"/>
    <x v="40"/>
    <d v="2025-02-11T00:00:00"/>
    <x v="0"/>
    <x v="2"/>
    <x v="1"/>
    <x v="0"/>
    <x v="7"/>
    <x v="3"/>
    <x v="6"/>
    <x v="0"/>
  </r>
  <r>
    <x v="1041"/>
    <x v="17"/>
    <x v="12"/>
    <n v="35.9"/>
    <n v="143.6"/>
    <x v="40"/>
    <d v="2025-02-17T00:00:00"/>
    <x v="2"/>
    <x v="1"/>
    <x v="0"/>
    <x v="0"/>
    <x v="7"/>
    <x v="6"/>
    <x v="6"/>
    <x v="2"/>
  </r>
  <r>
    <x v="1042"/>
    <x v="0"/>
    <x v="12"/>
    <n v="26.9"/>
    <n v="107.6"/>
    <x v="40"/>
    <d v="2025-02-11T00:00:00"/>
    <x v="1"/>
    <x v="1"/>
    <x v="0"/>
    <x v="0"/>
    <x v="7"/>
    <x v="3"/>
    <x v="6"/>
    <x v="1"/>
  </r>
  <r>
    <x v="1043"/>
    <x v="2"/>
    <x v="0"/>
    <n v="55.1"/>
    <n v="55.1"/>
    <x v="40"/>
    <d v="2025-02-11T00:00:00"/>
    <x v="2"/>
    <x v="0"/>
    <x v="0"/>
    <x v="0"/>
    <x v="7"/>
    <x v="3"/>
    <x v="6"/>
    <x v="2"/>
  </r>
  <r>
    <x v="1044"/>
    <x v="4"/>
    <x v="1"/>
    <n v="23.9"/>
    <n v="47.8"/>
    <x v="40"/>
    <d v="2025-02-11T00:00:00"/>
    <x v="1"/>
    <x v="0"/>
    <x v="2"/>
    <x v="0"/>
    <x v="8"/>
    <x v="3"/>
    <x v="6"/>
    <x v="1"/>
  </r>
  <r>
    <x v="1045"/>
    <x v="9"/>
    <x v="15"/>
    <n v="21.1"/>
    <n v="274.3"/>
    <x v="40"/>
    <d v="2025-02-18T00:00:00"/>
    <x v="2"/>
    <x v="0"/>
    <x v="1"/>
    <x v="0"/>
    <x v="8"/>
    <x v="9"/>
    <x v="6"/>
    <x v="2"/>
  </r>
  <r>
    <x v="1046"/>
    <x v="8"/>
    <x v="9"/>
    <n v="33.799999999999997"/>
    <n v="169"/>
    <x v="40"/>
    <d v="2025-02-12T00:00:00"/>
    <x v="2"/>
    <x v="0"/>
    <x v="0"/>
    <x v="0"/>
    <x v="8"/>
    <x v="1"/>
    <x v="6"/>
    <x v="2"/>
  </r>
  <r>
    <x v="1047"/>
    <x v="2"/>
    <x v="12"/>
    <n v="56.1"/>
    <n v="224.4"/>
    <x v="40"/>
    <d v="2025-02-10T00:00:00"/>
    <x v="2"/>
    <x v="3"/>
    <x v="2"/>
    <x v="0"/>
    <x v="9"/>
    <x v="7"/>
    <x v="6"/>
    <x v="2"/>
  </r>
  <r>
    <x v="1048"/>
    <x v="3"/>
    <x v="0"/>
    <n v="58.5"/>
    <n v="58.5"/>
    <x v="41"/>
    <d v="2025-02-15T00:00:00"/>
    <x v="2"/>
    <x v="1"/>
    <x v="2"/>
    <x v="0"/>
    <x v="9"/>
    <x v="5"/>
    <x v="6"/>
    <x v="2"/>
  </r>
  <r>
    <x v="1049"/>
    <x v="6"/>
    <x v="0"/>
    <n v="84.2"/>
    <n v="84.2"/>
    <x v="41"/>
    <d v="2025-02-13T00:00:00"/>
    <x v="1"/>
    <x v="3"/>
    <x v="0"/>
    <x v="0"/>
    <x v="11"/>
    <x v="1"/>
    <x v="6"/>
    <x v="1"/>
  </r>
  <r>
    <x v="1050"/>
    <x v="11"/>
    <x v="12"/>
    <n v="52"/>
    <n v="208"/>
    <x v="41"/>
    <d v="2025-02-14T00:00:00"/>
    <x v="1"/>
    <x v="0"/>
    <x v="0"/>
    <x v="0"/>
    <x v="11"/>
    <x v="2"/>
    <x v="6"/>
    <x v="1"/>
  </r>
  <r>
    <x v="1051"/>
    <x v="4"/>
    <x v="9"/>
    <n v="31.5"/>
    <n v="157.5"/>
    <x v="41"/>
    <d v="2025-02-12T00:00:00"/>
    <x v="2"/>
    <x v="0"/>
    <x v="2"/>
    <x v="0"/>
    <x v="11"/>
    <x v="3"/>
    <x v="6"/>
    <x v="2"/>
  </r>
  <r>
    <x v="1052"/>
    <x v="16"/>
    <x v="2"/>
    <n v="46.2"/>
    <n v="138.60000000000002"/>
    <x v="41"/>
    <d v="2025-02-12T00:00:00"/>
    <x v="1"/>
    <x v="0"/>
    <x v="0"/>
    <x v="0"/>
    <x v="53"/>
    <x v="3"/>
    <x v="6"/>
    <x v="1"/>
  </r>
  <r>
    <x v="1053"/>
    <x v="2"/>
    <x v="13"/>
    <n v="135"/>
    <n v="810"/>
    <x v="41"/>
    <d v="2025-02-12T00:00:00"/>
    <x v="2"/>
    <x v="1"/>
    <x v="2"/>
    <x v="0"/>
    <x v="18"/>
    <x v="3"/>
    <x v="6"/>
    <x v="2"/>
  </r>
  <r>
    <x v="1054"/>
    <x v="12"/>
    <x v="2"/>
    <n v="92.2"/>
    <n v="276.60000000000002"/>
    <x v="41"/>
    <d v="2025-02-15T00:00:00"/>
    <x v="1"/>
    <x v="0"/>
    <x v="0"/>
    <x v="0"/>
    <x v="21"/>
    <x v="5"/>
    <x v="6"/>
    <x v="1"/>
  </r>
  <r>
    <x v="1055"/>
    <x v="8"/>
    <x v="0"/>
    <n v="36.6"/>
    <n v="36.6"/>
    <x v="41"/>
    <d v="2025-02-13T00:00:00"/>
    <x v="1"/>
    <x v="2"/>
    <x v="2"/>
    <x v="0"/>
    <x v="21"/>
    <x v="1"/>
    <x v="6"/>
    <x v="1"/>
  </r>
  <r>
    <x v="1056"/>
    <x v="9"/>
    <x v="1"/>
    <n v="50.6"/>
    <n v="101.2"/>
    <x v="41"/>
    <d v="2025-02-14T00:00:00"/>
    <x v="2"/>
    <x v="0"/>
    <x v="0"/>
    <x v="0"/>
    <x v="2"/>
    <x v="2"/>
    <x v="6"/>
    <x v="2"/>
  </r>
  <r>
    <x v="1057"/>
    <x v="18"/>
    <x v="3"/>
    <n v="56.7"/>
    <n v="396.90000000000003"/>
    <x v="41"/>
    <d v="2025-02-14T00:00:00"/>
    <x v="2"/>
    <x v="0"/>
    <x v="0"/>
    <x v="0"/>
    <x v="2"/>
    <x v="2"/>
    <x v="6"/>
    <x v="2"/>
  </r>
  <r>
    <x v="1058"/>
    <x v="9"/>
    <x v="15"/>
    <n v="22.9"/>
    <n v="297.7"/>
    <x v="41"/>
    <d v="2025-02-12T00:00:00"/>
    <x v="2"/>
    <x v="0"/>
    <x v="1"/>
    <x v="0"/>
    <x v="44"/>
    <x v="3"/>
    <x v="6"/>
    <x v="2"/>
  </r>
  <r>
    <x v="1059"/>
    <x v="15"/>
    <x v="10"/>
    <n v="53.6"/>
    <n v="1018.4"/>
    <x v="41"/>
    <d v="2025-02-12T00:00:00"/>
    <x v="1"/>
    <x v="0"/>
    <x v="0"/>
    <x v="0"/>
    <x v="22"/>
    <x v="3"/>
    <x v="6"/>
    <x v="1"/>
  </r>
  <r>
    <x v="1060"/>
    <x v="18"/>
    <x v="1"/>
    <n v="30.2"/>
    <n v="60.4"/>
    <x v="41"/>
    <d v="2025-02-13T00:00:00"/>
    <x v="0"/>
    <x v="2"/>
    <x v="2"/>
    <x v="0"/>
    <x v="3"/>
    <x v="1"/>
    <x v="6"/>
    <x v="0"/>
  </r>
  <r>
    <x v="1061"/>
    <x v="15"/>
    <x v="13"/>
    <n v="83.4"/>
    <n v="500.40000000000003"/>
    <x v="41"/>
    <d v="2025-02-12T00:00:00"/>
    <x v="1"/>
    <x v="1"/>
    <x v="2"/>
    <x v="0"/>
    <x v="3"/>
    <x v="3"/>
    <x v="6"/>
    <x v="1"/>
  </r>
  <r>
    <x v="1062"/>
    <x v="13"/>
    <x v="4"/>
    <n v="16.600000000000001"/>
    <n v="199.20000000000002"/>
    <x v="41"/>
    <d v="2025-02-13T00:00:00"/>
    <x v="1"/>
    <x v="1"/>
    <x v="0"/>
    <x v="0"/>
    <x v="3"/>
    <x v="1"/>
    <x v="6"/>
    <x v="1"/>
  </r>
  <r>
    <x v="1063"/>
    <x v="8"/>
    <x v="14"/>
    <n v="21.9"/>
    <n v="372.29999999999995"/>
    <x v="41"/>
    <d v="2025-02-13T00:00:00"/>
    <x v="2"/>
    <x v="4"/>
    <x v="1"/>
    <x v="0"/>
    <x v="3"/>
    <x v="1"/>
    <x v="6"/>
    <x v="2"/>
  </r>
  <r>
    <x v="1064"/>
    <x v="8"/>
    <x v="31"/>
    <n v="33.799999999999997"/>
    <n v="946.39999999999986"/>
    <x v="41"/>
    <d v="2025-02-13T00:00:00"/>
    <x v="1"/>
    <x v="2"/>
    <x v="4"/>
    <x v="0"/>
    <x v="3"/>
    <x v="1"/>
    <x v="6"/>
    <x v="1"/>
  </r>
  <r>
    <x v="1065"/>
    <x v="18"/>
    <x v="1"/>
    <n v="53.2"/>
    <n v="106.4"/>
    <x v="41"/>
    <d v="2025-02-11T00:00:00"/>
    <x v="1"/>
    <x v="1"/>
    <x v="0"/>
    <x v="0"/>
    <x v="3"/>
    <x v="7"/>
    <x v="6"/>
    <x v="1"/>
  </r>
  <r>
    <x v="1066"/>
    <x v="2"/>
    <x v="1"/>
    <n v="176.7"/>
    <n v="353.4"/>
    <x v="41"/>
    <d v="2025-02-14T00:00:00"/>
    <x v="2"/>
    <x v="2"/>
    <x v="0"/>
    <x v="0"/>
    <x v="3"/>
    <x v="2"/>
    <x v="6"/>
    <x v="2"/>
  </r>
  <r>
    <x v="1067"/>
    <x v="12"/>
    <x v="2"/>
    <n v="54"/>
    <n v="162"/>
    <x v="41"/>
    <d v="2025-02-14T00:00:00"/>
    <x v="1"/>
    <x v="0"/>
    <x v="1"/>
    <x v="0"/>
    <x v="3"/>
    <x v="2"/>
    <x v="6"/>
    <x v="1"/>
  </r>
  <r>
    <x v="1068"/>
    <x v="9"/>
    <x v="1"/>
    <n v="70.099999999999994"/>
    <n v="140.19999999999999"/>
    <x v="41"/>
    <d v="2025-02-19T00:00:00"/>
    <x v="2"/>
    <x v="3"/>
    <x v="2"/>
    <x v="0"/>
    <x v="3"/>
    <x v="9"/>
    <x v="6"/>
    <x v="2"/>
  </r>
  <r>
    <x v="1069"/>
    <x v="8"/>
    <x v="0"/>
    <n v="26.5"/>
    <n v="26.5"/>
    <x v="41"/>
    <d v="2025-02-13T00:00:00"/>
    <x v="2"/>
    <x v="1"/>
    <x v="0"/>
    <x v="0"/>
    <x v="3"/>
    <x v="1"/>
    <x v="6"/>
    <x v="2"/>
  </r>
  <r>
    <x v="1070"/>
    <x v="7"/>
    <x v="9"/>
    <n v="89"/>
    <n v="445"/>
    <x v="41"/>
    <d v="2025-02-13T00:00:00"/>
    <x v="1"/>
    <x v="2"/>
    <x v="4"/>
    <x v="0"/>
    <x v="3"/>
    <x v="1"/>
    <x v="6"/>
    <x v="1"/>
  </r>
  <r>
    <x v="1071"/>
    <x v="1"/>
    <x v="13"/>
    <n v="47"/>
    <n v="282"/>
    <x v="41"/>
    <d v="2025-02-14T00:00:00"/>
    <x v="2"/>
    <x v="3"/>
    <x v="0"/>
    <x v="0"/>
    <x v="24"/>
    <x v="2"/>
    <x v="6"/>
    <x v="2"/>
  </r>
  <r>
    <x v="1072"/>
    <x v="3"/>
    <x v="1"/>
    <n v="55.2"/>
    <n v="110.4"/>
    <x v="41"/>
    <d v="2025-02-14T00:00:00"/>
    <x v="1"/>
    <x v="1"/>
    <x v="1"/>
    <x v="0"/>
    <x v="6"/>
    <x v="2"/>
    <x v="6"/>
    <x v="1"/>
  </r>
  <r>
    <x v="1073"/>
    <x v="8"/>
    <x v="39"/>
    <n v="33.299999999999997"/>
    <n v="1398.6"/>
    <x v="41"/>
    <d v="2025-02-25T00:00:00"/>
    <x v="1"/>
    <x v="1"/>
    <x v="2"/>
    <x v="0"/>
    <x v="6"/>
    <x v="12"/>
    <x v="6"/>
    <x v="1"/>
  </r>
  <r>
    <x v="1074"/>
    <x v="2"/>
    <x v="12"/>
    <n v="110.9"/>
    <n v="443.6"/>
    <x v="42"/>
    <d v="2025-02-12T00:00:00"/>
    <x v="1"/>
    <x v="2"/>
    <x v="4"/>
    <x v="0"/>
    <x v="6"/>
    <x v="7"/>
    <x v="6"/>
    <x v="1"/>
  </r>
  <r>
    <x v="1075"/>
    <x v="2"/>
    <x v="13"/>
    <n v="67.3"/>
    <n v="403.79999999999995"/>
    <x v="42"/>
    <d v="2025-02-13T00:00:00"/>
    <x v="1"/>
    <x v="0"/>
    <x v="0"/>
    <x v="0"/>
    <x v="8"/>
    <x v="3"/>
    <x v="6"/>
    <x v="1"/>
  </r>
  <r>
    <x v="1076"/>
    <x v="6"/>
    <x v="2"/>
    <n v="69.7"/>
    <n v="209.10000000000002"/>
    <x v="42"/>
    <d v="2025-02-13T00:00:00"/>
    <x v="1"/>
    <x v="2"/>
    <x v="1"/>
    <x v="0"/>
    <x v="8"/>
    <x v="3"/>
    <x v="6"/>
    <x v="1"/>
  </r>
  <r>
    <x v="1077"/>
    <x v="5"/>
    <x v="0"/>
    <n v="39.1"/>
    <n v="39.1"/>
    <x v="42"/>
    <d v="2025-02-17T00:00:00"/>
    <x v="1"/>
    <x v="0"/>
    <x v="1"/>
    <x v="0"/>
    <x v="17"/>
    <x v="0"/>
    <x v="6"/>
    <x v="1"/>
  </r>
  <r>
    <x v="1078"/>
    <x v="2"/>
    <x v="2"/>
    <n v="208.6"/>
    <n v="625.79999999999995"/>
    <x v="42"/>
    <d v="2025-02-12T00:00:00"/>
    <x v="1"/>
    <x v="4"/>
    <x v="2"/>
    <x v="0"/>
    <x v="17"/>
    <x v="7"/>
    <x v="6"/>
    <x v="1"/>
  </r>
  <r>
    <x v="1079"/>
    <x v="15"/>
    <x v="2"/>
    <n v="27.8"/>
    <n v="83.4"/>
    <x v="42"/>
    <d v="2025-02-13T00:00:00"/>
    <x v="1"/>
    <x v="3"/>
    <x v="1"/>
    <x v="0"/>
    <x v="11"/>
    <x v="3"/>
    <x v="6"/>
    <x v="1"/>
  </r>
  <r>
    <x v="1080"/>
    <x v="10"/>
    <x v="9"/>
    <n v="29.4"/>
    <n v="147"/>
    <x v="42"/>
    <d v="2025-02-14T00:00:00"/>
    <x v="2"/>
    <x v="0"/>
    <x v="0"/>
    <x v="0"/>
    <x v="11"/>
    <x v="1"/>
    <x v="6"/>
    <x v="2"/>
  </r>
  <r>
    <x v="1081"/>
    <x v="9"/>
    <x v="1"/>
    <n v="29.2"/>
    <n v="58.4"/>
    <x v="42"/>
    <d v="2025-02-14T00:00:00"/>
    <x v="2"/>
    <x v="1"/>
    <x v="2"/>
    <x v="0"/>
    <x v="20"/>
    <x v="1"/>
    <x v="6"/>
    <x v="2"/>
  </r>
  <r>
    <x v="1082"/>
    <x v="10"/>
    <x v="9"/>
    <n v="26.5"/>
    <n v="132.5"/>
    <x v="42"/>
    <d v="2025-02-14T00:00:00"/>
    <x v="2"/>
    <x v="0"/>
    <x v="0"/>
    <x v="0"/>
    <x v="52"/>
    <x v="1"/>
    <x v="6"/>
    <x v="2"/>
  </r>
  <r>
    <x v="1083"/>
    <x v="5"/>
    <x v="0"/>
    <n v="30.3"/>
    <n v="30.3"/>
    <x v="42"/>
    <d v="2025-02-13T00:00:00"/>
    <x v="2"/>
    <x v="4"/>
    <x v="1"/>
    <x v="0"/>
    <x v="13"/>
    <x v="3"/>
    <x v="6"/>
    <x v="2"/>
  </r>
  <r>
    <x v="1084"/>
    <x v="16"/>
    <x v="4"/>
    <n v="39.700000000000003"/>
    <n v="476.40000000000003"/>
    <x v="42"/>
    <d v="2025-02-13T00:00:00"/>
    <x v="2"/>
    <x v="0"/>
    <x v="0"/>
    <x v="0"/>
    <x v="21"/>
    <x v="3"/>
    <x v="6"/>
    <x v="2"/>
  </r>
  <r>
    <x v="1085"/>
    <x v="7"/>
    <x v="7"/>
    <n v="58.9"/>
    <n v="589"/>
    <x v="42"/>
    <d v="2025-02-14T00:00:00"/>
    <x v="2"/>
    <x v="1"/>
    <x v="4"/>
    <x v="0"/>
    <x v="21"/>
    <x v="1"/>
    <x v="6"/>
    <x v="2"/>
  </r>
  <r>
    <x v="1086"/>
    <x v="2"/>
    <x v="1"/>
    <n v="174.1"/>
    <n v="348.2"/>
    <x v="42"/>
    <d v="2025-02-14T00:00:00"/>
    <x v="2"/>
    <x v="0"/>
    <x v="1"/>
    <x v="0"/>
    <x v="46"/>
    <x v="1"/>
    <x v="6"/>
    <x v="2"/>
  </r>
  <r>
    <x v="1087"/>
    <x v="6"/>
    <x v="1"/>
    <n v="70.8"/>
    <n v="141.6"/>
    <x v="42"/>
    <d v="2025-02-15T00:00:00"/>
    <x v="1"/>
    <x v="2"/>
    <x v="0"/>
    <x v="0"/>
    <x v="22"/>
    <x v="2"/>
    <x v="6"/>
    <x v="1"/>
  </r>
  <r>
    <x v="1088"/>
    <x v="7"/>
    <x v="1"/>
    <n v="57.4"/>
    <n v="114.8"/>
    <x v="42"/>
    <d v="2025-02-14T00:00:00"/>
    <x v="2"/>
    <x v="1"/>
    <x v="1"/>
    <x v="0"/>
    <x v="34"/>
    <x v="1"/>
    <x v="6"/>
    <x v="2"/>
  </r>
  <r>
    <x v="1089"/>
    <x v="0"/>
    <x v="1"/>
    <n v="28.5"/>
    <n v="57"/>
    <x v="42"/>
    <d v="2025-02-14T00:00:00"/>
    <x v="1"/>
    <x v="3"/>
    <x v="1"/>
    <x v="0"/>
    <x v="3"/>
    <x v="1"/>
    <x v="6"/>
    <x v="1"/>
  </r>
  <r>
    <x v="1090"/>
    <x v="2"/>
    <x v="28"/>
    <n v="106.6"/>
    <n v="2132"/>
    <x v="42"/>
    <d v="2025-02-13T00:00:00"/>
    <x v="0"/>
    <x v="1"/>
    <x v="4"/>
    <x v="0"/>
    <x v="3"/>
    <x v="3"/>
    <x v="6"/>
    <x v="0"/>
  </r>
  <r>
    <x v="1091"/>
    <x v="2"/>
    <x v="2"/>
    <n v="119.7"/>
    <n v="359.1"/>
    <x v="42"/>
    <d v="2025-02-13T00:00:00"/>
    <x v="2"/>
    <x v="1"/>
    <x v="4"/>
    <x v="0"/>
    <x v="3"/>
    <x v="3"/>
    <x v="6"/>
    <x v="2"/>
  </r>
  <r>
    <x v="1092"/>
    <x v="18"/>
    <x v="0"/>
    <n v="73.3"/>
    <n v="73.3"/>
    <x v="42"/>
    <d v="2025-02-17T00:00:00"/>
    <x v="2"/>
    <x v="0"/>
    <x v="2"/>
    <x v="0"/>
    <x v="3"/>
    <x v="0"/>
    <x v="6"/>
    <x v="2"/>
  </r>
  <r>
    <x v="1093"/>
    <x v="0"/>
    <x v="1"/>
    <n v="25.8"/>
    <n v="51.6"/>
    <x v="42"/>
    <d v="2025-02-26T00:00:00"/>
    <x v="1"/>
    <x v="2"/>
    <x v="0"/>
    <x v="0"/>
    <x v="3"/>
    <x v="12"/>
    <x v="6"/>
    <x v="1"/>
  </r>
  <r>
    <x v="1094"/>
    <x v="17"/>
    <x v="2"/>
    <n v="49.1"/>
    <n v="147.30000000000001"/>
    <x v="42"/>
    <d v="2025-02-14T00:00:00"/>
    <x v="2"/>
    <x v="0"/>
    <x v="0"/>
    <x v="0"/>
    <x v="24"/>
    <x v="1"/>
    <x v="6"/>
    <x v="2"/>
  </r>
  <r>
    <x v="1095"/>
    <x v="1"/>
    <x v="0"/>
    <n v="44.9"/>
    <n v="44.9"/>
    <x v="42"/>
    <d v="2025-02-15T00:00:00"/>
    <x v="2"/>
    <x v="3"/>
    <x v="2"/>
    <x v="0"/>
    <x v="6"/>
    <x v="2"/>
    <x v="6"/>
    <x v="2"/>
  </r>
  <r>
    <x v="1096"/>
    <x v="15"/>
    <x v="3"/>
    <n v="29.9"/>
    <n v="209.29999999999998"/>
    <x v="42"/>
    <d v="2025-02-13T00:00:00"/>
    <x v="2"/>
    <x v="0"/>
    <x v="0"/>
    <x v="0"/>
    <x v="6"/>
    <x v="3"/>
    <x v="6"/>
    <x v="2"/>
  </r>
  <r>
    <x v="1097"/>
    <x v="7"/>
    <x v="1"/>
    <n v="54.3"/>
    <n v="108.6"/>
    <x v="43"/>
    <d v="2025-02-14T00:00:00"/>
    <x v="1"/>
    <x v="3"/>
    <x v="0"/>
    <x v="0"/>
    <x v="36"/>
    <x v="3"/>
    <x v="6"/>
    <x v="1"/>
  </r>
  <r>
    <x v="1098"/>
    <x v="9"/>
    <x v="12"/>
    <n v="57"/>
    <n v="228"/>
    <x v="43"/>
    <d v="2025-02-15T00:00:00"/>
    <x v="2"/>
    <x v="0"/>
    <x v="0"/>
    <x v="0"/>
    <x v="8"/>
    <x v="1"/>
    <x v="6"/>
    <x v="2"/>
  </r>
  <r>
    <x v="1099"/>
    <x v="2"/>
    <x v="0"/>
    <n v="139.19999999999999"/>
    <n v="139.19999999999999"/>
    <x v="43"/>
    <d v="2025-02-14T00:00:00"/>
    <x v="2"/>
    <x v="3"/>
    <x v="2"/>
    <x v="0"/>
    <x v="8"/>
    <x v="3"/>
    <x v="6"/>
    <x v="2"/>
  </r>
  <r>
    <x v="1100"/>
    <x v="10"/>
    <x v="0"/>
    <n v="33"/>
    <n v="33"/>
    <x v="43"/>
    <d v="2025-02-16T00:00:00"/>
    <x v="2"/>
    <x v="0"/>
    <x v="2"/>
    <x v="0"/>
    <x v="8"/>
    <x v="2"/>
    <x v="6"/>
    <x v="2"/>
  </r>
  <r>
    <x v="1101"/>
    <x v="11"/>
    <x v="13"/>
    <n v="80.2"/>
    <n v="481.20000000000005"/>
    <x v="43"/>
    <d v="2025-02-15T00:00:00"/>
    <x v="1"/>
    <x v="1"/>
    <x v="4"/>
    <x v="0"/>
    <x v="8"/>
    <x v="1"/>
    <x v="6"/>
    <x v="1"/>
  </r>
  <r>
    <x v="1102"/>
    <x v="18"/>
    <x v="8"/>
    <n v="49"/>
    <n v="392"/>
    <x v="43"/>
    <d v="2025-02-14T00:00:00"/>
    <x v="0"/>
    <x v="2"/>
    <x v="1"/>
    <x v="0"/>
    <x v="9"/>
    <x v="3"/>
    <x v="6"/>
    <x v="0"/>
  </r>
  <r>
    <x v="1103"/>
    <x v="1"/>
    <x v="12"/>
    <n v="104.4"/>
    <n v="417.6"/>
    <x v="43"/>
    <d v="2025-02-13T00:00:00"/>
    <x v="2"/>
    <x v="0"/>
    <x v="0"/>
    <x v="0"/>
    <x v="9"/>
    <x v="7"/>
    <x v="6"/>
    <x v="2"/>
  </r>
  <r>
    <x v="1104"/>
    <x v="3"/>
    <x v="0"/>
    <n v="41.6"/>
    <n v="41.6"/>
    <x v="43"/>
    <d v="2025-02-16T00:00:00"/>
    <x v="1"/>
    <x v="3"/>
    <x v="0"/>
    <x v="0"/>
    <x v="11"/>
    <x v="2"/>
    <x v="6"/>
    <x v="1"/>
  </r>
  <r>
    <x v="1105"/>
    <x v="19"/>
    <x v="1"/>
    <n v="16.399999999999999"/>
    <n v="32.799999999999997"/>
    <x v="43"/>
    <d v="2025-02-14T00:00:00"/>
    <x v="3"/>
    <x v="0"/>
    <x v="2"/>
    <x v="0"/>
    <x v="11"/>
    <x v="3"/>
    <x v="6"/>
    <x v="3"/>
  </r>
  <r>
    <x v="1106"/>
    <x v="8"/>
    <x v="1"/>
    <n v="22"/>
    <n v="44"/>
    <x v="43"/>
    <d v="2025-02-14T00:00:00"/>
    <x v="1"/>
    <x v="2"/>
    <x v="2"/>
    <x v="0"/>
    <x v="53"/>
    <x v="3"/>
    <x v="6"/>
    <x v="1"/>
  </r>
  <r>
    <x v="1107"/>
    <x v="15"/>
    <x v="1"/>
    <n v="33.6"/>
    <n v="67.2"/>
    <x v="43"/>
    <d v="2025-02-18T00:00:00"/>
    <x v="2"/>
    <x v="0"/>
    <x v="0"/>
    <x v="0"/>
    <x v="21"/>
    <x v="0"/>
    <x v="6"/>
    <x v="2"/>
  </r>
  <r>
    <x v="1108"/>
    <x v="11"/>
    <x v="13"/>
    <n v="43"/>
    <n v="258"/>
    <x v="43"/>
    <d v="2025-02-14T00:00:00"/>
    <x v="2"/>
    <x v="2"/>
    <x v="0"/>
    <x v="0"/>
    <x v="21"/>
    <x v="3"/>
    <x v="6"/>
    <x v="2"/>
  </r>
  <r>
    <x v="1109"/>
    <x v="6"/>
    <x v="9"/>
    <n v="108.8"/>
    <n v="544"/>
    <x v="43"/>
    <d v="2025-02-16T00:00:00"/>
    <x v="2"/>
    <x v="4"/>
    <x v="2"/>
    <x v="0"/>
    <x v="21"/>
    <x v="2"/>
    <x v="6"/>
    <x v="2"/>
  </r>
  <r>
    <x v="1110"/>
    <x v="0"/>
    <x v="11"/>
    <n v="29.3"/>
    <n v="263.7"/>
    <x v="43"/>
    <d v="2025-02-15T00:00:00"/>
    <x v="1"/>
    <x v="4"/>
    <x v="2"/>
    <x v="0"/>
    <x v="21"/>
    <x v="1"/>
    <x v="6"/>
    <x v="1"/>
  </r>
  <r>
    <x v="1111"/>
    <x v="2"/>
    <x v="0"/>
    <n v="122.7"/>
    <n v="122.7"/>
    <x v="43"/>
    <d v="2025-02-16T00:00:00"/>
    <x v="3"/>
    <x v="0"/>
    <x v="2"/>
    <x v="0"/>
    <x v="1"/>
    <x v="2"/>
    <x v="6"/>
    <x v="3"/>
  </r>
  <r>
    <x v="1112"/>
    <x v="4"/>
    <x v="3"/>
    <n v="22.9"/>
    <n v="160.29999999999998"/>
    <x v="43"/>
    <d v="2025-02-14T00:00:00"/>
    <x v="2"/>
    <x v="0"/>
    <x v="0"/>
    <x v="0"/>
    <x v="42"/>
    <x v="3"/>
    <x v="6"/>
    <x v="2"/>
  </r>
  <r>
    <x v="1113"/>
    <x v="8"/>
    <x v="7"/>
    <n v="25.5"/>
    <n v="255"/>
    <x v="43"/>
    <d v="2025-02-20T00:00:00"/>
    <x v="2"/>
    <x v="0"/>
    <x v="0"/>
    <x v="0"/>
    <x v="33"/>
    <x v="6"/>
    <x v="6"/>
    <x v="2"/>
  </r>
  <r>
    <x v="1114"/>
    <x v="17"/>
    <x v="2"/>
    <n v="23.4"/>
    <n v="70.199999999999989"/>
    <x v="43"/>
    <d v="2025-02-17T00:00:00"/>
    <x v="2"/>
    <x v="0"/>
    <x v="2"/>
    <x v="0"/>
    <x v="3"/>
    <x v="5"/>
    <x v="6"/>
    <x v="2"/>
  </r>
  <r>
    <x v="1115"/>
    <x v="5"/>
    <x v="8"/>
    <n v="27.4"/>
    <n v="219.2"/>
    <x v="43"/>
    <d v="2025-02-16T00:00:00"/>
    <x v="2"/>
    <x v="2"/>
    <x v="0"/>
    <x v="0"/>
    <x v="3"/>
    <x v="2"/>
    <x v="6"/>
    <x v="2"/>
  </r>
  <r>
    <x v="1116"/>
    <x v="5"/>
    <x v="9"/>
    <n v="68.400000000000006"/>
    <n v="342"/>
    <x v="43"/>
    <d v="2025-02-14T00:00:00"/>
    <x v="2"/>
    <x v="0"/>
    <x v="0"/>
    <x v="0"/>
    <x v="3"/>
    <x v="3"/>
    <x v="6"/>
    <x v="2"/>
  </r>
  <r>
    <x v="1117"/>
    <x v="6"/>
    <x v="0"/>
    <n v="51.9"/>
    <n v="51.9"/>
    <x v="43"/>
    <d v="2025-02-13T00:00:00"/>
    <x v="2"/>
    <x v="0"/>
    <x v="0"/>
    <x v="0"/>
    <x v="3"/>
    <x v="7"/>
    <x v="6"/>
    <x v="2"/>
  </r>
  <r>
    <x v="1118"/>
    <x v="0"/>
    <x v="9"/>
    <n v="26.4"/>
    <n v="132"/>
    <x v="43"/>
    <d v="2025-02-16T00:00:00"/>
    <x v="2"/>
    <x v="0"/>
    <x v="2"/>
    <x v="0"/>
    <x v="3"/>
    <x v="2"/>
    <x v="6"/>
    <x v="2"/>
  </r>
  <r>
    <x v="1119"/>
    <x v="12"/>
    <x v="1"/>
    <n v="117"/>
    <n v="234"/>
    <x v="43"/>
    <d v="2025-02-14T00:00:00"/>
    <x v="2"/>
    <x v="1"/>
    <x v="1"/>
    <x v="0"/>
    <x v="3"/>
    <x v="3"/>
    <x v="6"/>
    <x v="2"/>
  </r>
  <r>
    <x v="1120"/>
    <x v="7"/>
    <x v="2"/>
    <n v="49.6"/>
    <n v="148.80000000000001"/>
    <x v="44"/>
    <d v="2025-02-16T00:00:00"/>
    <x v="2"/>
    <x v="0"/>
    <x v="0"/>
    <x v="0"/>
    <x v="3"/>
    <x v="1"/>
    <x v="6"/>
    <x v="2"/>
  </r>
  <r>
    <x v="1121"/>
    <x v="4"/>
    <x v="2"/>
    <n v="38"/>
    <n v="114"/>
    <x v="44"/>
    <d v="2025-02-17T00:00:00"/>
    <x v="1"/>
    <x v="2"/>
    <x v="4"/>
    <x v="0"/>
    <x v="3"/>
    <x v="2"/>
    <x v="6"/>
    <x v="1"/>
  </r>
  <r>
    <x v="1122"/>
    <x v="0"/>
    <x v="2"/>
    <n v="20.6"/>
    <n v="61.800000000000004"/>
    <x v="44"/>
    <d v="2025-02-16T00:00:00"/>
    <x v="2"/>
    <x v="4"/>
    <x v="2"/>
    <x v="0"/>
    <x v="3"/>
    <x v="1"/>
    <x v="6"/>
    <x v="2"/>
  </r>
  <r>
    <x v="1123"/>
    <x v="0"/>
    <x v="1"/>
    <n v="16"/>
    <n v="32"/>
    <x v="44"/>
    <d v="2025-02-15T00:00:00"/>
    <x v="1"/>
    <x v="1"/>
    <x v="1"/>
    <x v="0"/>
    <x v="49"/>
    <x v="3"/>
    <x v="6"/>
    <x v="1"/>
  </r>
  <r>
    <x v="1124"/>
    <x v="15"/>
    <x v="12"/>
    <n v="49.3"/>
    <n v="197.2"/>
    <x v="44"/>
    <d v="2025-02-15T00:00:00"/>
    <x v="2"/>
    <x v="2"/>
    <x v="0"/>
    <x v="0"/>
    <x v="23"/>
    <x v="3"/>
    <x v="6"/>
    <x v="2"/>
  </r>
  <r>
    <x v="1125"/>
    <x v="9"/>
    <x v="1"/>
    <n v="24.1"/>
    <n v="48.2"/>
    <x v="44"/>
    <d v="2025-02-18T00:00:00"/>
    <x v="2"/>
    <x v="0"/>
    <x v="0"/>
    <x v="0"/>
    <x v="6"/>
    <x v="5"/>
    <x v="6"/>
    <x v="2"/>
  </r>
  <r>
    <x v="1126"/>
    <x v="15"/>
    <x v="8"/>
    <n v="32.700000000000003"/>
    <n v="261.60000000000002"/>
    <x v="44"/>
    <d v="2025-02-15T00:00:00"/>
    <x v="2"/>
    <x v="1"/>
    <x v="0"/>
    <x v="0"/>
    <x v="6"/>
    <x v="3"/>
    <x v="6"/>
    <x v="2"/>
  </r>
  <r>
    <x v="1127"/>
    <x v="6"/>
    <x v="2"/>
    <n v="74.400000000000006"/>
    <n v="223.20000000000002"/>
    <x v="44"/>
    <d v="2025-02-15T00:00:00"/>
    <x v="2"/>
    <x v="3"/>
    <x v="2"/>
    <x v="0"/>
    <x v="8"/>
    <x v="3"/>
    <x v="6"/>
    <x v="2"/>
  </r>
  <r>
    <x v="1128"/>
    <x v="12"/>
    <x v="0"/>
    <n v="45.6"/>
    <n v="45.6"/>
    <x v="44"/>
    <d v="2025-02-18T00:00:00"/>
    <x v="2"/>
    <x v="4"/>
    <x v="0"/>
    <x v="0"/>
    <x v="8"/>
    <x v="5"/>
    <x v="6"/>
    <x v="2"/>
  </r>
  <r>
    <x v="1129"/>
    <x v="8"/>
    <x v="8"/>
    <n v="19.600000000000001"/>
    <n v="156.80000000000001"/>
    <x v="44"/>
    <d v="2025-02-27T00:00:00"/>
    <x v="2"/>
    <x v="0"/>
    <x v="0"/>
    <x v="0"/>
    <x v="8"/>
    <x v="10"/>
    <x v="6"/>
    <x v="2"/>
  </r>
  <r>
    <x v="1130"/>
    <x v="9"/>
    <x v="0"/>
    <n v="51.8"/>
    <n v="51.8"/>
    <x v="44"/>
    <d v="2025-02-15T00:00:00"/>
    <x v="2"/>
    <x v="1"/>
    <x v="0"/>
    <x v="0"/>
    <x v="8"/>
    <x v="3"/>
    <x v="6"/>
    <x v="2"/>
  </r>
  <r>
    <x v="1131"/>
    <x v="6"/>
    <x v="0"/>
    <n v="74.7"/>
    <n v="74.7"/>
    <x v="44"/>
    <d v="2025-02-15T00:00:00"/>
    <x v="1"/>
    <x v="0"/>
    <x v="1"/>
    <x v="0"/>
    <x v="8"/>
    <x v="3"/>
    <x v="6"/>
    <x v="1"/>
  </r>
  <r>
    <x v="1132"/>
    <x v="19"/>
    <x v="2"/>
    <n v="22.4"/>
    <n v="67.199999999999989"/>
    <x v="44"/>
    <d v="2025-02-15T00:00:00"/>
    <x v="2"/>
    <x v="1"/>
    <x v="2"/>
    <x v="0"/>
    <x v="9"/>
    <x v="3"/>
    <x v="6"/>
    <x v="2"/>
  </r>
  <r>
    <x v="1133"/>
    <x v="1"/>
    <x v="12"/>
    <n v="31.4"/>
    <n v="125.6"/>
    <x v="44"/>
    <d v="2025-02-15T00:00:00"/>
    <x v="2"/>
    <x v="1"/>
    <x v="0"/>
    <x v="0"/>
    <x v="9"/>
    <x v="3"/>
    <x v="6"/>
    <x v="2"/>
  </r>
  <r>
    <x v="1134"/>
    <x v="6"/>
    <x v="0"/>
    <n v="94"/>
    <n v="94"/>
    <x v="44"/>
    <d v="2025-02-14T00:00:00"/>
    <x v="2"/>
    <x v="1"/>
    <x v="2"/>
    <x v="0"/>
    <x v="10"/>
    <x v="7"/>
    <x v="6"/>
    <x v="2"/>
  </r>
  <r>
    <x v="1135"/>
    <x v="10"/>
    <x v="0"/>
    <n v="22.3"/>
    <n v="22.3"/>
    <x v="44"/>
    <d v="2025-02-15T00:00:00"/>
    <x v="1"/>
    <x v="4"/>
    <x v="0"/>
    <x v="0"/>
    <x v="20"/>
    <x v="3"/>
    <x v="6"/>
    <x v="1"/>
  </r>
  <r>
    <x v="1136"/>
    <x v="0"/>
    <x v="0"/>
    <n v="21.9"/>
    <n v="21.9"/>
    <x v="44"/>
    <d v="2025-02-17T00:00:00"/>
    <x v="2"/>
    <x v="2"/>
    <x v="0"/>
    <x v="0"/>
    <x v="21"/>
    <x v="2"/>
    <x v="6"/>
    <x v="2"/>
  </r>
  <r>
    <x v="1137"/>
    <x v="17"/>
    <x v="2"/>
    <n v="27"/>
    <n v="81"/>
    <x v="44"/>
    <d v="2025-02-16T00:00:00"/>
    <x v="2"/>
    <x v="4"/>
    <x v="2"/>
    <x v="0"/>
    <x v="2"/>
    <x v="1"/>
    <x v="6"/>
    <x v="2"/>
  </r>
  <r>
    <x v="1138"/>
    <x v="2"/>
    <x v="12"/>
    <n v="149.6"/>
    <n v="598.4"/>
    <x v="44"/>
    <d v="2025-02-14T00:00:00"/>
    <x v="2"/>
    <x v="4"/>
    <x v="0"/>
    <x v="0"/>
    <x v="22"/>
    <x v="7"/>
    <x v="6"/>
    <x v="2"/>
  </r>
  <r>
    <x v="1139"/>
    <x v="2"/>
    <x v="12"/>
    <n v="129.1"/>
    <n v="516.4"/>
    <x v="44"/>
    <d v="2025-02-24T00:00:00"/>
    <x v="1"/>
    <x v="0"/>
    <x v="1"/>
    <x v="0"/>
    <x v="3"/>
    <x v="14"/>
    <x v="6"/>
    <x v="1"/>
  </r>
  <r>
    <x v="1140"/>
    <x v="1"/>
    <x v="4"/>
    <n v="40.4"/>
    <n v="484.79999999999995"/>
    <x v="44"/>
    <d v="2025-02-15T00:00:00"/>
    <x v="1"/>
    <x v="1"/>
    <x v="1"/>
    <x v="0"/>
    <x v="3"/>
    <x v="3"/>
    <x v="6"/>
    <x v="1"/>
  </r>
  <r>
    <x v="1141"/>
    <x v="4"/>
    <x v="2"/>
    <n v="48.5"/>
    <n v="145.5"/>
    <x v="44"/>
    <d v="2025-02-16T00:00:00"/>
    <x v="2"/>
    <x v="0"/>
    <x v="4"/>
    <x v="0"/>
    <x v="3"/>
    <x v="1"/>
    <x v="6"/>
    <x v="2"/>
  </r>
  <r>
    <x v="1142"/>
    <x v="9"/>
    <x v="1"/>
    <n v="37.6"/>
    <n v="75.2"/>
    <x v="44"/>
    <d v="2025-02-16T00:00:00"/>
    <x v="2"/>
    <x v="1"/>
    <x v="2"/>
    <x v="0"/>
    <x v="3"/>
    <x v="1"/>
    <x v="6"/>
    <x v="2"/>
  </r>
  <r>
    <x v="1143"/>
    <x v="8"/>
    <x v="1"/>
    <n v="19.600000000000001"/>
    <n v="39.200000000000003"/>
    <x v="44"/>
    <d v="2025-02-15T00:00:00"/>
    <x v="1"/>
    <x v="3"/>
    <x v="4"/>
    <x v="0"/>
    <x v="43"/>
    <x v="3"/>
    <x v="6"/>
    <x v="1"/>
  </r>
  <r>
    <x v="1144"/>
    <x v="8"/>
    <x v="9"/>
    <n v="18.5"/>
    <n v="92.5"/>
    <x v="44"/>
    <d v="2025-02-15T00:00:00"/>
    <x v="2"/>
    <x v="2"/>
    <x v="1"/>
    <x v="0"/>
    <x v="6"/>
    <x v="3"/>
    <x v="6"/>
    <x v="2"/>
  </r>
  <r>
    <x v="1145"/>
    <x v="5"/>
    <x v="2"/>
    <n v="25.5"/>
    <n v="76.5"/>
    <x v="44"/>
    <d v="2025-02-16T00:00:00"/>
    <x v="2"/>
    <x v="4"/>
    <x v="1"/>
    <x v="0"/>
    <x v="6"/>
    <x v="1"/>
    <x v="6"/>
    <x v="2"/>
  </r>
  <r>
    <x v="1146"/>
    <x v="2"/>
    <x v="1"/>
    <n v="94.7"/>
    <n v="189.4"/>
    <x v="44"/>
    <d v="2025-02-15T00:00:00"/>
    <x v="2"/>
    <x v="2"/>
    <x v="0"/>
    <x v="0"/>
    <x v="36"/>
    <x v="3"/>
    <x v="6"/>
    <x v="2"/>
  </r>
  <r>
    <x v="1147"/>
    <x v="1"/>
    <x v="13"/>
    <n v="38.799999999999997"/>
    <n v="232.79999999999998"/>
    <x v="44"/>
    <d v="2025-02-19T00:00:00"/>
    <x v="2"/>
    <x v="2"/>
    <x v="2"/>
    <x v="0"/>
    <x v="8"/>
    <x v="0"/>
    <x v="6"/>
    <x v="2"/>
  </r>
  <r>
    <x v="1148"/>
    <x v="9"/>
    <x v="1"/>
    <n v="49.4"/>
    <n v="98.8"/>
    <x v="45"/>
    <d v="2025-02-23T00:00:00"/>
    <x v="1"/>
    <x v="4"/>
    <x v="1"/>
    <x v="0"/>
    <x v="8"/>
    <x v="9"/>
    <x v="6"/>
    <x v="1"/>
  </r>
  <r>
    <x v="1149"/>
    <x v="7"/>
    <x v="2"/>
    <n v="68"/>
    <n v="204"/>
    <x v="45"/>
    <d v="2025-02-18T00:00:00"/>
    <x v="1"/>
    <x v="0"/>
    <x v="2"/>
    <x v="0"/>
    <x v="8"/>
    <x v="2"/>
    <x v="6"/>
    <x v="1"/>
  </r>
  <r>
    <x v="1150"/>
    <x v="15"/>
    <x v="3"/>
    <n v="63.7"/>
    <n v="445.90000000000003"/>
    <x v="45"/>
    <d v="2025-02-16T00:00:00"/>
    <x v="2"/>
    <x v="2"/>
    <x v="2"/>
    <x v="0"/>
    <x v="8"/>
    <x v="3"/>
    <x v="6"/>
    <x v="2"/>
  </r>
  <r>
    <x v="1151"/>
    <x v="10"/>
    <x v="1"/>
    <n v="66.2"/>
    <n v="132.4"/>
    <x v="45"/>
    <d v="2025-02-16T00:00:00"/>
    <x v="2"/>
    <x v="4"/>
    <x v="2"/>
    <x v="0"/>
    <x v="17"/>
    <x v="3"/>
    <x v="6"/>
    <x v="2"/>
  </r>
  <r>
    <x v="1152"/>
    <x v="12"/>
    <x v="2"/>
    <n v="32.299999999999997"/>
    <n v="96.899999999999991"/>
    <x v="45"/>
    <d v="2025-02-16T00:00:00"/>
    <x v="3"/>
    <x v="2"/>
    <x v="1"/>
    <x v="0"/>
    <x v="9"/>
    <x v="3"/>
    <x v="6"/>
    <x v="3"/>
  </r>
  <r>
    <x v="1153"/>
    <x v="4"/>
    <x v="1"/>
    <n v="66.900000000000006"/>
    <n v="133.80000000000001"/>
    <x v="45"/>
    <d v="2025-02-18T00:00:00"/>
    <x v="1"/>
    <x v="1"/>
    <x v="0"/>
    <x v="0"/>
    <x v="11"/>
    <x v="2"/>
    <x v="6"/>
    <x v="1"/>
  </r>
  <r>
    <x v="1154"/>
    <x v="4"/>
    <x v="4"/>
    <n v="25.2"/>
    <n v="302.39999999999998"/>
    <x v="45"/>
    <d v="2025-02-19T00:00:00"/>
    <x v="2"/>
    <x v="0"/>
    <x v="1"/>
    <x v="0"/>
    <x v="11"/>
    <x v="5"/>
    <x v="6"/>
    <x v="2"/>
  </r>
  <r>
    <x v="1155"/>
    <x v="10"/>
    <x v="13"/>
    <n v="29.5"/>
    <n v="177"/>
    <x v="45"/>
    <d v="2025-02-16T00:00:00"/>
    <x v="1"/>
    <x v="2"/>
    <x v="0"/>
    <x v="0"/>
    <x v="11"/>
    <x v="3"/>
    <x v="6"/>
    <x v="1"/>
  </r>
  <r>
    <x v="1156"/>
    <x v="8"/>
    <x v="9"/>
    <n v="21.6"/>
    <n v="108"/>
    <x v="45"/>
    <d v="2025-02-17T00:00:00"/>
    <x v="2"/>
    <x v="0"/>
    <x v="2"/>
    <x v="0"/>
    <x v="32"/>
    <x v="1"/>
    <x v="6"/>
    <x v="2"/>
  </r>
  <r>
    <x v="1157"/>
    <x v="12"/>
    <x v="2"/>
    <n v="69"/>
    <n v="207"/>
    <x v="45"/>
    <d v="2025-02-16T00:00:00"/>
    <x v="2"/>
    <x v="0"/>
    <x v="0"/>
    <x v="0"/>
    <x v="18"/>
    <x v="3"/>
    <x v="6"/>
    <x v="2"/>
  </r>
  <r>
    <x v="1158"/>
    <x v="7"/>
    <x v="1"/>
    <n v="115"/>
    <n v="230"/>
    <x v="45"/>
    <d v="2025-02-19T00:00:00"/>
    <x v="1"/>
    <x v="0"/>
    <x v="2"/>
    <x v="0"/>
    <x v="18"/>
    <x v="5"/>
    <x v="6"/>
    <x v="1"/>
  </r>
  <r>
    <x v="1159"/>
    <x v="2"/>
    <x v="1"/>
    <n v="109.3"/>
    <n v="218.6"/>
    <x v="45"/>
    <d v="2025-02-17T00:00:00"/>
    <x v="0"/>
    <x v="3"/>
    <x v="1"/>
    <x v="0"/>
    <x v="19"/>
    <x v="1"/>
    <x v="6"/>
    <x v="0"/>
  </r>
  <r>
    <x v="1160"/>
    <x v="9"/>
    <x v="1"/>
    <n v="66.599999999999994"/>
    <n v="133.19999999999999"/>
    <x v="45"/>
    <d v="2025-02-18T00:00:00"/>
    <x v="0"/>
    <x v="4"/>
    <x v="1"/>
    <x v="0"/>
    <x v="19"/>
    <x v="2"/>
    <x v="6"/>
    <x v="0"/>
  </r>
  <r>
    <x v="1161"/>
    <x v="12"/>
    <x v="9"/>
    <n v="47.7"/>
    <n v="238.5"/>
    <x v="45"/>
    <d v="2025-02-16T00:00:00"/>
    <x v="1"/>
    <x v="3"/>
    <x v="2"/>
    <x v="0"/>
    <x v="21"/>
    <x v="3"/>
    <x v="6"/>
    <x v="1"/>
  </r>
  <r>
    <x v="1162"/>
    <x v="8"/>
    <x v="1"/>
    <n v="46"/>
    <n v="92"/>
    <x v="45"/>
    <d v="2025-02-16T00:00:00"/>
    <x v="2"/>
    <x v="4"/>
    <x v="4"/>
    <x v="0"/>
    <x v="22"/>
    <x v="3"/>
    <x v="6"/>
    <x v="2"/>
  </r>
  <r>
    <x v="1163"/>
    <x v="1"/>
    <x v="13"/>
    <n v="39.299999999999997"/>
    <n v="235.79999999999998"/>
    <x v="45"/>
    <d v="2025-02-17T00:00:00"/>
    <x v="1"/>
    <x v="3"/>
    <x v="2"/>
    <x v="0"/>
    <x v="3"/>
    <x v="1"/>
    <x v="6"/>
    <x v="1"/>
  </r>
  <r>
    <x v="1164"/>
    <x v="9"/>
    <x v="0"/>
    <n v="70.2"/>
    <n v="70.2"/>
    <x v="45"/>
    <d v="2025-02-16T00:00:00"/>
    <x v="2"/>
    <x v="0"/>
    <x v="4"/>
    <x v="0"/>
    <x v="3"/>
    <x v="3"/>
    <x v="6"/>
    <x v="2"/>
  </r>
  <r>
    <x v="1165"/>
    <x v="3"/>
    <x v="12"/>
    <n v="71.5"/>
    <n v="286"/>
    <x v="45"/>
    <d v="2025-02-15T00:00:00"/>
    <x v="2"/>
    <x v="1"/>
    <x v="2"/>
    <x v="0"/>
    <x v="3"/>
    <x v="7"/>
    <x v="6"/>
    <x v="2"/>
  </r>
  <r>
    <x v="1166"/>
    <x v="10"/>
    <x v="3"/>
    <n v="31"/>
    <n v="217"/>
    <x v="45"/>
    <d v="2025-02-22T00:00:00"/>
    <x v="2"/>
    <x v="3"/>
    <x v="2"/>
    <x v="0"/>
    <x v="3"/>
    <x v="6"/>
    <x v="6"/>
    <x v="2"/>
  </r>
  <r>
    <x v="1167"/>
    <x v="2"/>
    <x v="9"/>
    <n v="68.2"/>
    <n v="341"/>
    <x v="45"/>
    <d v="2025-02-20T00:00:00"/>
    <x v="2"/>
    <x v="0"/>
    <x v="2"/>
    <x v="0"/>
    <x v="3"/>
    <x v="0"/>
    <x v="6"/>
    <x v="2"/>
  </r>
  <r>
    <x v="1168"/>
    <x v="2"/>
    <x v="0"/>
    <n v="91.4"/>
    <n v="91.4"/>
    <x v="45"/>
    <d v="2025-02-19T00:00:00"/>
    <x v="2"/>
    <x v="1"/>
    <x v="2"/>
    <x v="0"/>
    <x v="6"/>
    <x v="5"/>
    <x v="6"/>
    <x v="2"/>
  </r>
  <r>
    <x v="1169"/>
    <x v="6"/>
    <x v="7"/>
    <n v="112.9"/>
    <n v="1129"/>
    <x v="45"/>
    <d v="2025-02-16T00:00:00"/>
    <x v="2"/>
    <x v="0"/>
    <x v="0"/>
    <x v="0"/>
    <x v="6"/>
    <x v="3"/>
    <x v="6"/>
    <x v="2"/>
  </r>
  <r>
    <x v="1170"/>
    <x v="17"/>
    <x v="11"/>
    <n v="33.700000000000003"/>
    <n v="303.3"/>
    <x v="45"/>
    <d v="2025-02-16T00:00:00"/>
    <x v="2"/>
    <x v="1"/>
    <x v="2"/>
    <x v="0"/>
    <x v="8"/>
    <x v="3"/>
    <x v="6"/>
    <x v="2"/>
  </r>
  <r>
    <x v="1171"/>
    <x v="15"/>
    <x v="7"/>
    <n v="35.299999999999997"/>
    <n v="353"/>
    <x v="45"/>
    <d v="2025-02-17T00:00:00"/>
    <x v="1"/>
    <x v="2"/>
    <x v="0"/>
    <x v="0"/>
    <x v="8"/>
    <x v="1"/>
    <x v="6"/>
    <x v="1"/>
  </r>
  <r>
    <x v="1172"/>
    <x v="18"/>
    <x v="2"/>
    <n v="45.6"/>
    <n v="136.80000000000001"/>
    <x v="45"/>
    <d v="2025-02-19T00:00:00"/>
    <x v="1"/>
    <x v="3"/>
    <x v="0"/>
    <x v="0"/>
    <x v="8"/>
    <x v="5"/>
    <x v="6"/>
    <x v="1"/>
  </r>
  <r>
    <x v="1173"/>
    <x v="7"/>
    <x v="3"/>
    <n v="47.1"/>
    <n v="329.7"/>
    <x v="45"/>
    <d v="2025-02-16T00:00:00"/>
    <x v="2"/>
    <x v="4"/>
    <x v="2"/>
    <x v="0"/>
    <x v="9"/>
    <x v="3"/>
    <x v="6"/>
    <x v="2"/>
  </r>
  <r>
    <x v="1174"/>
    <x v="8"/>
    <x v="9"/>
    <n v="16.2"/>
    <n v="81"/>
    <x v="45"/>
    <d v="2025-02-17T00:00:00"/>
    <x v="2"/>
    <x v="3"/>
    <x v="2"/>
    <x v="0"/>
    <x v="19"/>
    <x v="1"/>
    <x v="6"/>
    <x v="2"/>
  </r>
  <r>
    <x v="1175"/>
    <x v="1"/>
    <x v="1"/>
    <n v="159.69999999999999"/>
    <n v="319.39999999999998"/>
    <x v="46"/>
    <d v="2025-02-17T00:00:00"/>
    <x v="1"/>
    <x v="4"/>
    <x v="0"/>
    <x v="0"/>
    <x v="13"/>
    <x v="3"/>
    <x v="7"/>
    <x v="1"/>
  </r>
  <r>
    <x v="1176"/>
    <x v="8"/>
    <x v="12"/>
    <n v="19"/>
    <n v="76"/>
    <x v="46"/>
    <d v="2025-02-23T00:00:00"/>
    <x v="2"/>
    <x v="2"/>
    <x v="2"/>
    <x v="0"/>
    <x v="21"/>
    <x v="6"/>
    <x v="7"/>
    <x v="2"/>
  </r>
  <r>
    <x v="1177"/>
    <x v="6"/>
    <x v="13"/>
    <n v="91.1"/>
    <n v="546.59999999999991"/>
    <x v="46"/>
    <d v="2025-02-25T00:00:00"/>
    <x v="2"/>
    <x v="4"/>
    <x v="0"/>
    <x v="0"/>
    <x v="21"/>
    <x v="8"/>
    <x v="7"/>
    <x v="2"/>
  </r>
  <r>
    <x v="1178"/>
    <x v="2"/>
    <x v="9"/>
    <n v="94.1"/>
    <n v="470.5"/>
    <x v="46"/>
    <d v="2025-02-19T00:00:00"/>
    <x v="0"/>
    <x v="1"/>
    <x v="1"/>
    <x v="0"/>
    <x v="21"/>
    <x v="2"/>
    <x v="7"/>
    <x v="0"/>
  </r>
  <r>
    <x v="1179"/>
    <x v="9"/>
    <x v="11"/>
    <n v="21.1"/>
    <n v="189.9"/>
    <x v="46"/>
    <d v="2025-02-17T00:00:00"/>
    <x v="2"/>
    <x v="4"/>
    <x v="2"/>
    <x v="0"/>
    <x v="51"/>
    <x v="3"/>
    <x v="7"/>
    <x v="2"/>
  </r>
  <r>
    <x v="1180"/>
    <x v="8"/>
    <x v="3"/>
    <n v="15.3"/>
    <n v="107.10000000000001"/>
    <x v="46"/>
    <d v="2025-02-24T00:00:00"/>
    <x v="2"/>
    <x v="2"/>
    <x v="0"/>
    <x v="0"/>
    <x v="1"/>
    <x v="9"/>
    <x v="7"/>
    <x v="2"/>
  </r>
  <r>
    <x v="1181"/>
    <x v="15"/>
    <x v="12"/>
    <n v="21.3"/>
    <n v="85.2"/>
    <x v="46"/>
    <d v="2025-02-19T00:00:00"/>
    <x v="1"/>
    <x v="1"/>
    <x v="0"/>
    <x v="0"/>
    <x v="3"/>
    <x v="2"/>
    <x v="7"/>
    <x v="1"/>
  </r>
  <r>
    <x v="1182"/>
    <x v="0"/>
    <x v="1"/>
    <n v="23.2"/>
    <n v="46.4"/>
    <x v="46"/>
    <d v="2025-02-16T00:00:00"/>
    <x v="0"/>
    <x v="3"/>
    <x v="1"/>
    <x v="0"/>
    <x v="3"/>
    <x v="7"/>
    <x v="7"/>
    <x v="0"/>
  </r>
  <r>
    <x v="1183"/>
    <x v="4"/>
    <x v="2"/>
    <n v="25.7"/>
    <n v="77.099999999999994"/>
    <x v="46"/>
    <d v="2025-02-17T00:00:00"/>
    <x v="1"/>
    <x v="4"/>
    <x v="0"/>
    <x v="0"/>
    <x v="3"/>
    <x v="3"/>
    <x v="7"/>
    <x v="1"/>
  </r>
  <r>
    <x v="1184"/>
    <x v="0"/>
    <x v="11"/>
    <n v="31.6"/>
    <n v="284.40000000000003"/>
    <x v="46"/>
    <d v="2025-02-18T00:00:00"/>
    <x v="2"/>
    <x v="0"/>
    <x v="0"/>
    <x v="0"/>
    <x v="3"/>
    <x v="1"/>
    <x v="7"/>
    <x v="2"/>
  </r>
  <r>
    <x v="1185"/>
    <x v="6"/>
    <x v="0"/>
    <n v="64.2"/>
    <n v="64.2"/>
    <x v="46"/>
    <d v="2025-02-21T00:00:00"/>
    <x v="1"/>
    <x v="0"/>
    <x v="0"/>
    <x v="0"/>
    <x v="3"/>
    <x v="0"/>
    <x v="7"/>
    <x v="1"/>
  </r>
  <r>
    <x v="1186"/>
    <x v="8"/>
    <x v="1"/>
    <n v="55.8"/>
    <n v="111.6"/>
    <x v="46"/>
    <d v="2025-02-18T00:00:00"/>
    <x v="0"/>
    <x v="0"/>
    <x v="0"/>
    <x v="0"/>
    <x v="3"/>
    <x v="1"/>
    <x v="7"/>
    <x v="0"/>
  </r>
  <r>
    <x v="1187"/>
    <x v="8"/>
    <x v="1"/>
    <n v="28.1"/>
    <n v="56.2"/>
    <x v="46"/>
    <d v="2025-02-17T00:00:00"/>
    <x v="2"/>
    <x v="4"/>
    <x v="1"/>
    <x v="0"/>
    <x v="3"/>
    <x v="3"/>
    <x v="7"/>
    <x v="2"/>
  </r>
  <r>
    <x v="1188"/>
    <x v="0"/>
    <x v="1"/>
    <n v="11.6"/>
    <n v="23.2"/>
    <x v="46"/>
    <d v="2025-02-18T00:00:00"/>
    <x v="2"/>
    <x v="1"/>
    <x v="0"/>
    <x v="0"/>
    <x v="24"/>
    <x v="1"/>
    <x v="7"/>
    <x v="2"/>
  </r>
  <r>
    <x v="1189"/>
    <x v="5"/>
    <x v="2"/>
    <n v="50.4"/>
    <n v="151.19999999999999"/>
    <x v="46"/>
    <d v="2025-02-17T00:00:00"/>
    <x v="1"/>
    <x v="4"/>
    <x v="2"/>
    <x v="0"/>
    <x v="25"/>
    <x v="3"/>
    <x v="7"/>
    <x v="1"/>
  </r>
  <r>
    <x v="1190"/>
    <x v="6"/>
    <x v="13"/>
    <n v="48.3"/>
    <n v="289.79999999999995"/>
    <x v="46"/>
    <d v="2025-02-20T00:00:00"/>
    <x v="2"/>
    <x v="0"/>
    <x v="0"/>
    <x v="0"/>
    <x v="25"/>
    <x v="5"/>
    <x v="7"/>
    <x v="2"/>
  </r>
  <r>
    <x v="1191"/>
    <x v="17"/>
    <x v="3"/>
    <n v="32.200000000000003"/>
    <n v="225.40000000000003"/>
    <x v="46"/>
    <d v="2025-02-18T00:00:00"/>
    <x v="2"/>
    <x v="2"/>
    <x v="0"/>
    <x v="0"/>
    <x v="25"/>
    <x v="1"/>
    <x v="7"/>
    <x v="2"/>
  </r>
  <r>
    <x v="1192"/>
    <x v="7"/>
    <x v="31"/>
    <n v="48.5"/>
    <n v="1358"/>
    <x v="46"/>
    <d v="2025-02-17T00:00:00"/>
    <x v="1"/>
    <x v="0"/>
    <x v="0"/>
    <x v="0"/>
    <x v="5"/>
    <x v="3"/>
    <x v="7"/>
    <x v="1"/>
  </r>
  <r>
    <x v="1193"/>
    <x v="2"/>
    <x v="9"/>
    <n v="62"/>
    <n v="310"/>
    <x v="46"/>
    <d v="2025-02-19T00:00:00"/>
    <x v="2"/>
    <x v="1"/>
    <x v="0"/>
    <x v="0"/>
    <x v="6"/>
    <x v="2"/>
    <x v="7"/>
    <x v="2"/>
  </r>
  <r>
    <x v="1194"/>
    <x v="8"/>
    <x v="2"/>
    <n v="32.1"/>
    <n v="96.300000000000011"/>
    <x v="47"/>
    <d v="2025-02-19T00:00:00"/>
    <x v="1"/>
    <x v="0"/>
    <x v="0"/>
    <x v="0"/>
    <x v="6"/>
    <x v="1"/>
    <x v="7"/>
    <x v="1"/>
  </r>
  <r>
    <x v="1195"/>
    <x v="12"/>
    <x v="2"/>
    <n v="106.1"/>
    <n v="318.29999999999995"/>
    <x v="47"/>
    <d v="2025-02-19T00:00:00"/>
    <x v="1"/>
    <x v="0"/>
    <x v="1"/>
    <x v="0"/>
    <x v="7"/>
    <x v="1"/>
    <x v="7"/>
    <x v="1"/>
  </r>
  <r>
    <x v="1196"/>
    <x v="10"/>
    <x v="2"/>
    <n v="23.5"/>
    <n v="70.5"/>
    <x v="47"/>
    <d v="2025-02-20T00:00:00"/>
    <x v="1"/>
    <x v="0"/>
    <x v="4"/>
    <x v="0"/>
    <x v="7"/>
    <x v="2"/>
    <x v="7"/>
    <x v="1"/>
  </r>
  <r>
    <x v="1197"/>
    <x v="1"/>
    <x v="1"/>
    <n v="35.6"/>
    <n v="71.2"/>
    <x v="47"/>
    <d v="2025-02-22T00:00:00"/>
    <x v="1"/>
    <x v="4"/>
    <x v="0"/>
    <x v="0"/>
    <x v="8"/>
    <x v="0"/>
    <x v="7"/>
    <x v="1"/>
  </r>
  <r>
    <x v="1198"/>
    <x v="1"/>
    <x v="1"/>
    <n v="63.5"/>
    <n v="127"/>
    <x v="47"/>
    <d v="2025-02-17T00:00:00"/>
    <x v="2"/>
    <x v="1"/>
    <x v="2"/>
    <x v="0"/>
    <x v="8"/>
    <x v="7"/>
    <x v="7"/>
    <x v="2"/>
  </r>
  <r>
    <x v="1199"/>
    <x v="6"/>
    <x v="3"/>
    <n v="82.9"/>
    <n v="580.30000000000007"/>
    <x v="47"/>
    <d v="2025-02-22T00:00:00"/>
    <x v="2"/>
    <x v="4"/>
    <x v="0"/>
    <x v="0"/>
    <x v="9"/>
    <x v="0"/>
    <x v="7"/>
    <x v="2"/>
  </r>
  <r>
    <x v="1200"/>
    <x v="6"/>
    <x v="1"/>
    <n v="83.6"/>
    <n v="167.2"/>
    <x v="47"/>
    <d v="2025-02-22T00:00:00"/>
    <x v="2"/>
    <x v="0"/>
    <x v="0"/>
    <x v="0"/>
    <x v="11"/>
    <x v="0"/>
    <x v="7"/>
    <x v="2"/>
  </r>
  <r>
    <x v="1201"/>
    <x v="4"/>
    <x v="1"/>
    <n v="29.4"/>
    <n v="58.8"/>
    <x v="47"/>
    <d v="2025-02-17T00:00:00"/>
    <x v="2"/>
    <x v="0"/>
    <x v="1"/>
    <x v="0"/>
    <x v="30"/>
    <x v="7"/>
    <x v="7"/>
    <x v="2"/>
  </r>
  <r>
    <x v="1202"/>
    <x v="2"/>
    <x v="2"/>
    <n v="107.1"/>
    <n v="321.29999999999995"/>
    <x v="47"/>
    <d v="2025-02-21T00:00:00"/>
    <x v="2"/>
    <x v="2"/>
    <x v="0"/>
    <x v="0"/>
    <x v="20"/>
    <x v="5"/>
    <x v="7"/>
    <x v="2"/>
  </r>
  <r>
    <x v="1203"/>
    <x v="2"/>
    <x v="0"/>
    <n v="62.7"/>
    <n v="62.7"/>
    <x v="47"/>
    <d v="2025-02-21T00:00:00"/>
    <x v="1"/>
    <x v="1"/>
    <x v="0"/>
    <x v="0"/>
    <x v="21"/>
    <x v="5"/>
    <x v="7"/>
    <x v="1"/>
  </r>
  <r>
    <x v="1204"/>
    <x v="11"/>
    <x v="0"/>
    <n v="41.6"/>
    <n v="41.6"/>
    <x v="47"/>
    <d v="2025-02-18T00:00:00"/>
    <x v="1"/>
    <x v="0"/>
    <x v="1"/>
    <x v="0"/>
    <x v="1"/>
    <x v="3"/>
    <x v="7"/>
    <x v="1"/>
  </r>
  <r>
    <x v="1205"/>
    <x v="6"/>
    <x v="0"/>
    <n v="44.2"/>
    <n v="44.2"/>
    <x v="47"/>
    <d v="2025-02-18T00:00:00"/>
    <x v="3"/>
    <x v="0"/>
    <x v="1"/>
    <x v="0"/>
    <x v="1"/>
    <x v="3"/>
    <x v="7"/>
    <x v="3"/>
  </r>
  <r>
    <x v="1206"/>
    <x v="4"/>
    <x v="13"/>
    <n v="40.4"/>
    <n v="242.39999999999998"/>
    <x v="47"/>
    <d v="2025-03-02T00:00:00"/>
    <x v="2"/>
    <x v="2"/>
    <x v="0"/>
    <x v="0"/>
    <x v="22"/>
    <x v="10"/>
    <x v="7"/>
    <x v="2"/>
  </r>
  <r>
    <x v="1207"/>
    <x v="15"/>
    <x v="13"/>
    <n v="59.6"/>
    <n v="357.6"/>
    <x v="47"/>
    <d v="2025-02-18T00:00:00"/>
    <x v="2"/>
    <x v="4"/>
    <x v="0"/>
    <x v="0"/>
    <x v="34"/>
    <x v="3"/>
    <x v="7"/>
    <x v="2"/>
  </r>
  <r>
    <x v="1208"/>
    <x v="17"/>
    <x v="4"/>
    <n v="63.8"/>
    <n v="765.59999999999991"/>
    <x v="47"/>
    <d v="2025-02-18T00:00:00"/>
    <x v="1"/>
    <x v="1"/>
    <x v="0"/>
    <x v="0"/>
    <x v="3"/>
    <x v="3"/>
    <x v="7"/>
    <x v="1"/>
  </r>
  <r>
    <x v="1209"/>
    <x v="9"/>
    <x v="13"/>
    <n v="30.8"/>
    <n v="184.8"/>
    <x v="47"/>
    <d v="2025-02-19T00:00:00"/>
    <x v="1"/>
    <x v="4"/>
    <x v="0"/>
    <x v="0"/>
    <x v="3"/>
    <x v="1"/>
    <x v="7"/>
    <x v="1"/>
  </r>
  <r>
    <x v="1210"/>
    <x v="1"/>
    <x v="1"/>
    <n v="41.5"/>
    <n v="83"/>
    <x v="47"/>
    <d v="2025-02-20T00:00:00"/>
    <x v="3"/>
    <x v="0"/>
    <x v="0"/>
    <x v="0"/>
    <x v="3"/>
    <x v="2"/>
    <x v="7"/>
    <x v="3"/>
  </r>
  <r>
    <x v="1211"/>
    <x v="10"/>
    <x v="12"/>
    <n v="44.7"/>
    <n v="178.8"/>
    <x v="47"/>
    <d v="2025-02-19T00:00:00"/>
    <x v="2"/>
    <x v="2"/>
    <x v="1"/>
    <x v="0"/>
    <x v="3"/>
    <x v="1"/>
    <x v="7"/>
    <x v="2"/>
  </r>
  <r>
    <x v="1212"/>
    <x v="12"/>
    <x v="1"/>
    <n v="64.099999999999994"/>
    <n v="128.19999999999999"/>
    <x v="47"/>
    <d v="2025-02-21T00:00:00"/>
    <x v="2"/>
    <x v="1"/>
    <x v="4"/>
    <x v="0"/>
    <x v="3"/>
    <x v="5"/>
    <x v="7"/>
    <x v="2"/>
  </r>
  <r>
    <x v="1213"/>
    <x v="8"/>
    <x v="0"/>
    <n v="15.9"/>
    <n v="15.9"/>
    <x v="47"/>
    <d v="2025-02-20T00:00:00"/>
    <x v="0"/>
    <x v="1"/>
    <x v="0"/>
    <x v="0"/>
    <x v="3"/>
    <x v="2"/>
    <x v="7"/>
    <x v="0"/>
  </r>
  <r>
    <x v="1214"/>
    <x v="6"/>
    <x v="1"/>
    <n v="78.7"/>
    <n v="157.4"/>
    <x v="47"/>
    <d v="2025-02-17T00:00:00"/>
    <x v="2"/>
    <x v="2"/>
    <x v="1"/>
    <x v="0"/>
    <x v="3"/>
    <x v="7"/>
    <x v="7"/>
    <x v="2"/>
  </r>
  <r>
    <x v="1215"/>
    <x v="5"/>
    <x v="4"/>
    <n v="29.6"/>
    <n v="355.20000000000005"/>
    <x v="47"/>
    <d v="2025-02-21T00:00:00"/>
    <x v="1"/>
    <x v="2"/>
    <x v="4"/>
    <x v="0"/>
    <x v="3"/>
    <x v="5"/>
    <x v="7"/>
    <x v="1"/>
  </r>
  <r>
    <x v="1216"/>
    <x v="8"/>
    <x v="12"/>
    <n v="21.5"/>
    <n v="86"/>
    <x v="47"/>
    <d v="2025-02-20T00:00:00"/>
    <x v="1"/>
    <x v="1"/>
    <x v="0"/>
    <x v="0"/>
    <x v="3"/>
    <x v="2"/>
    <x v="7"/>
    <x v="1"/>
  </r>
  <r>
    <x v="1217"/>
    <x v="9"/>
    <x v="2"/>
    <n v="74.900000000000006"/>
    <n v="224.70000000000002"/>
    <x v="47"/>
    <d v="2025-02-26T00:00:00"/>
    <x v="1"/>
    <x v="3"/>
    <x v="1"/>
    <x v="0"/>
    <x v="3"/>
    <x v="8"/>
    <x v="7"/>
    <x v="1"/>
  </r>
  <r>
    <x v="1218"/>
    <x v="10"/>
    <x v="13"/>
    <n v="45"/>
    <n v="270"/>
    <x v="47"/>
    <d v="2025-02-22T00:00:00"/>
    <x v="2"/>
    <x v="2"/>
    <x v="0"/>
    <x v="0"/>
    <x v="3"/>
    <x v="0"/>
    <x v="7"/>
    <x v="2"/>
  </r>
  <r>
    <x v="1219"/>
    <x v="7"/>
    <x v="33"/>
    <n v="37.9"/>
    <n v="1288.5999999999999"/>
    <x v="47"/>
    <d v="2025-02-18T00:00:00"/>
    <x v="1"/>
    <x v="0"/>
    <x v="0"/>
    <x v="0"/>
    <x v="3"/>
    <x v="3"/>
    <x v="7"/>
    <x v="1"/>
  </r>
  <r>
    <x v="1220"/>
    <x v="6"/>
    <x v="2"/>
    <n v="56.6"/>
    <n v="169.8"/>
    <x v="47"/>
    <d v="2025-02-18T00:00:00"/>
    <x v="1"/>
    <x v="3"/>
    <x v="0"/>
    <x v="0"/>
    <x v="3"/>
    <x v="3"/>
    <x v="7"/>
    <x v="1"/>
  </r>
  <r>
    <x v="1221"/>
    <x v="3"/>
    <x v="15"/>
    <n v="84.5"/>
    <n v="1098.5"/>
    <x v="47"/>
    <d v="2025-02-20T00:00:00"/>
    <x v="2"/>
    <x v="1"/>
    <x v="4"/>
    <x v="0"/>
    <x v="3"/>
    <x v="2"/>
    <x v="7"/>
    <x v="2"/>
  </r>
  <r>
    <x v="1222"/>
    <x v="2"/>
    <x v="9"/>
    <n v="105.4"/>
    <n v="527"/>
    <x v="47"/>
    <d v="2025-02-19T00:00:00"/>
    <x v="2"/>
    <x v="1"/>
    <x v="1"/>
    <x v="0"/>
    <x v="3"/>
    <x v="1"/>
    <x v="7"/>
    <x v="2"/>
  </r>
  <r>
    <x v="1223"/>
    <x v="18"/>
    <x v="3"/>
    <n v="39.4"/>
    <n v="275.8"/>
    <x v="48"/>
    <d v="2025-02-18T00:00:00"/>
    <x v="1"/>
    <x v="1"/>
    <x v="0"/>
    <x v="0"/>
    <x v="37"/>
    <x v="7"/>
    <x v="7"/>
    <x v="1"/>
  </r>
  <r>
    <x v="1224"/>
    <x v="19"/>
    <x v="2"/>
    <n v="38"/>
    <n v="114"/>
    <x v="48"/>
    <d v="2025-02-21T00:00:00"/>
    <x v="1"/>
    <x v="4"/>
    <x v="1"/>
    <x v="0"/>
    <x v="6"/>
    <x v="2"/>
    <x v="7"/>
    <x v="1"/>
  </r>
  <r>
    <x v="1225"/>
    <x v="17"/>
    <x v="12"/>
    <n v="42.5"/>
    <n v="170"/>
    <x v="48"/>
    <d v="2025-02-20T00:00:00"/>
    <x v="0"/>
    <x v="0"/>
    <x v="0"/>
    <x v="0"/>
    <x v="6"/>
    <x v="1"/>
    <x v="7"/>
    <x v="0"/>
  </r>
  <r>
    <x v="1226"/>
    <x v="15"/>
    <x v="0"/>
    <n v="62.3"/>
    <n v="62.3"/>
    <x v="48"/>
    <d v="2025-02-27T00:00:00"/>
    <x v="1"/>
    <x v="0"/>
    <x v="2"/>
    <x v="0"/>
    <x v="6"/>
    <x v="8"/>
    <x v="7"/>
    <x v="1"/>
  </r>
  <r>
    <x v="1227"/>
    <x v="6"/>
    <x v="9"/>
    <n v="49.1"/>
    <n v="245.5"/>
    <x v="48"/>
    <d v="2025-02-20T00:00:00"/>
    <x v="2"/>
    <x v="1"/>
    <x v="2"/>
    <x v="0"/>
    <x v="7"/>
    <x v="1"/>
    <x v="7"/>
    <x v="2"/>
  </r>
  <r>
    <x v="1228"/>
    <x v="3"/>
    <x v="1"/>
    <n v="30.5"/>
    <n v="61"/>
    <x v="48"/>
    <d v="2025-02-21T00:00:00"/>
    <x v="1"/>
    <x v="0"/>
    <x v="2"/>
    <x v="0"/>
    <x v="8"/>
    <x v="2"/>
    <x v="7"/>
    <x v="1"/>
  </r>
  <r>
    <x v="1229"/>
    <x v="2"/>
    <x v="1"/>
    <n v="154.80000000000001"/>
    <n v="309.60000000000002"/>
    <x v="48"/>
    <d v="2025-02-21T00:00:00"/>
    <x v="2"/>
    <x v="1"/>
    <x v="4"/>
    <x v="0"/>
    <x v="8"/>
    <x v="2"/>
    <x v="7"/>
    <x v="2"/>
  </r>
  <r>
    <x v="1230"/>
    <x v="6"/>
    <x v="0"/>
    <n v="45"/>
    <n v="45"/>
    <x v="48"/>
    <d v="2025-02-22T00:00:00"/>
    <x v="1"/>
    <x v="3"/>
    <x v="1"/>
    <x v="0"/>
    <x v="8"/>
    <x v="5"/>
    <x v="7"/>
    <x v="1"/>
  </r>
  <r>
    <x v="1231"/>
    <x v="0"/>
    <x v="3"/>
    <n v="15.3"/>
    <n v="107.10000000000001"/>
    <x v="48"/>
    <d v="2025-02-19T00:00:00"/>
    <x v="1"/>
    <x v="0"/>
    <x v="2"/>
    <x v="0"/>
    <x v="8"/>
    <x v="3"/>
    <x v="7"/>
    <x v="1"/>
  </r>
  <r>
    <x v="1232"/>
    <x v="2"/>
    <x v="5"/>
    <n v="88.6"/>
    <n v="974.59999999999991"/>
    <x v="48"/>
    <d v="2025-02-21T00:00:00"/>
    <x v="2"/>
    <x v="0"/>
    <x v="4"/>
    <x v="0"/>
    <x v="17"/>
    <x v="2"/>
    <x v="7"/>
    <x v="2"/>
  </r>
  <r>
    <x v="1233"/>
    <x v="9"/>
    <x v="1"/>
    <n v="49.7"/>
    <n v="99.4"/>
    <x v="48"/>
    <d v="2025-02-20T00:00:00"/>
    <x v="3"/>
    <x v="4"/>
    <x v="0"/>
    <x v="0"/>
    <x v="10"/>
    <x v="1"/>
    <x v="7"/>
    <x v="3"/>
  </r>
  <r>
    <x v="1234"/>
    <x v="10"/>
    <x v="0"/>
    <n v="29"/>
    <n v="29"/>
    <x v="48"/>
    <d v="2025-02-19T00:00:00"/>
    <x v="1"/>
    <x v="0"/>
    <x v="0"/>
    <x v="0"/>
    <x v="11"/>
    <x v="3"/>
    <x v="7"/>
    <x v="1"/>
  </r>
  <r>
    <x v="1235"/>
    <x v="1"/>
    <x v="0"/>
    <n v="60.7"/>
    <n v="60.7"/>
    <x v="48"/>
    <d v="2025-02-19T00:00:00"/>
    <x v="3"/>
    <x v="0"/>
    <x v="1"/>
    <x v="0"/>
    <x v="11"/>
    <x v="3"/>
    <x v="7"/>
    <x v="3"/>
  </r>
  <r>
    <x v="1236"/>
    <x v="17"/>
    <x v="12"/>
    <n v="87.4"/>
    <n v="349.6"/>
    <x v="48"/>
    <d v="2025-02-20T00:00:00"/>
    <x v="0"/>
    <x v="0"/>
    <x v="0"/>
    <x v="0"/>
    <x v="11"/>
    <x v="1"/>
    <x v="7"/>
    <x v="0"/>
  </r>
  <r>
    <x v="1237"/>
    <x v="4"/>
    <x v="3"/>
    <n v="44.5"/>
    <n v="311.5"/>
    <x v="48"/>
    <d v="2025-02-22T00:00:00"/>
    <x v="2"/>
    <x v="2"/>
    <x v="2"/>
    <x v="0"/>
    <x v="19"/>
    <x v="5"/>
    <x v="7"/>
    <x v="2"/>
  </r>
  <r>
    <x v="1238"/>
    <x v="2"/>
    <x v="0"/>
    <n v="141"/>
    <n v="141"/>
    <x v="48"/>
    <d v="2025-02-19T00:00:00"/>
    <x v="1"/>
    <x v="4"/>
    <x v="2"/>
    <x v="0"/>
    <x v="19"/>
    <x v="3"/>
    <x v="7"/>
    <x v="1"/>
  </r>
  <r>
    <x v="1239"/>
    <x v="0"/>
    <x v="2"/>
    <n v="16.7"/>
    <n v="50.099999999999994"/>
    <x v="48"/>
    <d v="2025-02-26T00:00:00"/>
    <x v="2"/>
    <x v="0"/>
    <x v="0"/>
    <x v="0"/>
    <x v="20"/>
    <x v="9"/>
    <x v="7"/>
    <x v="2"/>
  </r>
  <r>
    <x v="1240"/>
    <x v="1"/>
    <x v="1"/>
    <n v="77.5"/>
    <n v="155"/>
    <x v="48"/>
    <d v="2025-02-19T00:00:00"/>
    <x v="0"/>
    <x v="2"/>
    <x v="2"/>
    <x v="0"/>
    <x v="13"/>
    <x v="3"/>
    <x v="7"/>
    <x v="0"/>
  </r>
  <r>
    <x v="1241"/>
    <x v="2"/>
    <x v="1"/>
    <n v="163"/>
    <n v="326"/>
    <x v="48"/>
    <d v="2025-02-24T00:00:00"/>
    <x v="2"/>
    <x v="4"/>
    <x v="0"/>
    <x v="0"/>
    <x v="21"/>
    <x v="4"/>
    <x v="7"/>
    <x v="2"/>
  </r>
  <r>
    <x v="1242"/>
    <x v="4"/>
    <x v="11"/>
    <n v="21.4"/>
    <n v="192.6"/>
    <x v="48"/>
    <d v="2025-02-21T00:00:00"/>
    <x v="2"/>
    <x v="0"/>
    <x v="0"/>
    <x v="0"/>
    <x v="51"/>
    <x v="2"/>
    <x v="7"/>
    <x v="2"/>
  </r>
  <r>
    <x v="1243"/>
    <x v="10"/>
    <x v="5"/>
    <n v="31"/>
    <n v="341"/>
    <x v="48"/>
    <d v="2025-02-20T00:00:00"/>
    <x v="2"/>
    <x v="3"/>
    <x v="2"/>
    <x v="0"/>
    <x v="1"/>
    <x v="1"/>
    <x v="7"/>
    <x v="2"/>
  </r>
  <r>
    <x v="1244"/>
    <x v="7"/>
    <x v="1"/>
    <n v="34.299999999999997"/>
    <n v="68.599999999999994"/>
    <x v="48"/>
    <d v="2025-02-20T00:00:00"/>
    <x v="2"/>
    <x v="0"/>
    <x v="3"/>
    <x v="0"/>
    <x v="1"/>
    <x v="1"/>
    <x v="7"/>
    <x v="2"/>
  </r>
  <r>
    <x v="1245"/>
    <x v="17"/>
    <x v="9"/>
    <n v="48.2"/>
    <n v="241"/>
    <x v="48"/>
    <d v="2025-02-19T00:00:00"/>
    <x v="1"/>
    <x v="1"/>
    <x v="1"/>
    <x v="0"/>
    <x v="2"/>
    <x v="3"/>
    <x v="7"/>
    <x v="1"/>
  </r>
  <r>
    <x v="1246"/>
    <x v="10"/>
    <x v="0"/>
    <n v="51.4"/>
    <n v="51.4"/>
    <x v="48"/>
    <d v="2025-02-19T00:00:00"/>
    <x v="1"/>
    <x v="0"/>
    <x v="0"/>
    <x v="0"/>
    <x v="3"/>
    <x v="3"/>
    <x v="7"/>
    <x v="1"/>
  </r>
  <r>
    <x v="1247"/>
    <x v="2"/>
    <x v="9"/>
    <n v="117.2"/>
    <n v="586"/>
    <x v="48"/>
    <d v="2025-02-21T00:00:00"/>
    <x v="2"/>
    <x v="4"/>
    <x v="4"/>
    <x v="0"/>
    <x v="3"/>
    <x v="2"/>
    <x v="7"/>
    <x v="2"/>
  </r>
  <r>
    <x v="1248"/>
    <x v="8"/>
    <x v="0"/>
    <n v="38.1"/>
    <n v="38.1"/>
    <x v="48"/>
    <d v="2025-02-18T00:00:00"/>
    <x v="1"/>
    <x v="4"/>
    <x v="1"/>
    <x v="0"/>
    <x v="3"/>
    <x v="7"/>
    <x v="7"/>
    <x v="1"/>
  </r>
  <r>
    <x v="1249"/>
    <x v="0"/>
    <x v="1"/>
    <n v="44.1"/>
    <n v="88.2"/>
    <x v="48"/>
    <d v="2025-02-20T00:00:00"/>
    <x v="2"/>
    <x v="2"/>
    <x v="0"/>
    <x v="0"/>
    <x v="3"/>
    <x v="1"/>
    <x v="7"/>
    <x v="2"/>
  </r>
  <r>
    <x v="1250"/>
    <x v="15"/>
    <x v="12"/>
    <n v="80.5"/>
    <n v="322"/>
    <x v="48"/>
    <d v="2025-02-23T00:00:00"/>
    <x v="1"/>
    <x v="0"/>
    <x v="0"/>
    <x v="0"/>
    <x v="3"/>
    <x v="0"/>
    <x v="7"/>
    <x v="1"/>
  </r>
  <r>
    <x v="1251"/>
    <x v="18"/>
    <x v="12"/>
    <n v="33.6"/>
    <n v="134.4"/>
    <x v="48"/>
    <d v="2025-02-23T00:00:00"/>
    <x v="0"/>
    <x v="0"/>
    <x v="2"/>
    <x v="0"/>
    <x v="3"/>
    <x v="0"/>
    <x v="7"/>
    <x v="0"/>
  </r>
  <r>
    <x v="1252"/>
    <x v="9"/>
    <x v="11"/>
    <n v="41.8"/>
    <n v="376.2"/>
    <x v="48"/>
    <d v="2025-02-19T00:00:00"/>
    <x v="2"/>
    <x v="0"/>
    <x v="1"/>
    <x v="0"/>
    <x v="3"/>
    <x v="3"/>
    <x v="7"/>
    <x v="2"/>
  </r>
  <r>
    <x v="1253"/>
    <x v="1"/>
    <x v="1"/>
    <n v="106.2"/>
    <n v="212.4"/>
    <x v="48"/>
    <d v="2025-02-18T00:00:00"/>
    <x v="2"/>
    <x v="4"/>
    <x v="2"/>
    <x v="0"/>
    <x v="3"/>
    <x v="7"/>
    <x v="7"/>
    <x v="2"/>
  </r>
  <r>
    <x v="1254"/>
    <x v="1"/>
    <x v="1"/>
    <n v="52.6"/>
    <n v="105.2"/>
    <x v="48"/>
    <d v="2025-02-19T00:00:00"/>
    <x v="2"/>
    <x v="0"/>
    <x v="2"/>
    <x v="0"/>
    <x v="5"/>
    <x v="3"/>
    <x v="7"/>
    <x v="2"/>
  </r>
  <r>
    <x v="1255"/>
    <x v="11"/>
    <x v="3"/>
    <n v="68.5"/>
    <n v="479.5"/>
    <x v="48"/>
    <d v="2025-02-19T00:00:00"/>
    <x v="2"/>
    <x v="1"/>
    <x v="0"/>
    <x v="0"/>
    <x v="5"/>
    <x v="3"/>
    <x v="7"/>
    <x v="2"/>
  </r>
  <r>
    <x v="1256"/>
    <x v="1"/>
    <x v="1"/>
    <n v="55.6"/>
    <n v="111.2"/>
    <x v="48"/>
    <d v="2025-02-20T00:00:00"/>
    <x v="1"/>
    <x v="1"/>
    <x v="2"/>
    <x v="0"/>
    <x v="6"/>
    <x v="1"/>
    <x v="7"/>
    <x v="1"/>
  </r>
  <r>
    <x v="1257"/>
    <x v="2"/>
    <x v="2"/>
    <n v="134.9"/>
    <n v="404.70000000000005"/>
    <x v="48"/>
    <d v="2025-02-19T00:00:00"/>
    <x v="1"/>
    <x v="1"/>
    <x v="1"/>
    <x v="0"/>
    <x v="6"/>
    <x v="3"/>
    <x v="7"/>
    <x v="1"/>
  </r>
  <r>
    <x v="1258"/>
    <x v="10"/>
    <x v="9"/>
    <n v="42.6"/>
    <n v="213"/>
    <x v="48"/>
    <d v="2025-02-19T00:00:00"/>
    <x v="1"/>
    <x v="0"/>
    <x v="0"/>
    <x v="0"/>
    <x v="6"/>
    <x v="3"/>
    <x v="7"/>
    <x v="1"/>
  </r>
  <r>
    <x v="1259"/>
    <x v="7"/>
    <x v="9"/>
    <n v="60.6"/>
    <n v="303"/>
    <x v="48"/>
    <d v="2025-02-20T00:00:00"/>
    <x v="1"/>
    <x v="4"/>
    <x v="0"/>
    <x v="0"/>
    <x v="6"/>
    <x v="1"/>
    <x v="7"/>
    <x v="1"/>
  </r>
  <r>
    <x v="1260"/>
    <x v="8"/>
    <x v="1"/>
    <n v="43.5"/>
    <n v="87"/>
    <x v="48"/>
    <d v="2025-02-19T00:00:00"/>
    <x v="1"/>
    <x v="4"/>
    <x v="0"/>
    <x v="0"/>
    <x v="7"/>
    <x v="3"/>
    <x v="7"/>
    <x v="1"/>
  </r>
  <r>
    <x v="1261"/>
    <x v="2"/>
    <x v="1"/>
    <n v="187.1"/>
    <n v="374.2"/>
    <x v="48"/>
    <d v="2025-02-19T00:00:00"/>
    <x v="1"/>
    <x v="1"/>
    <x v="2"/>
    <x v="0"/>
    <x v="8"/>
    <x v="3"/>
    <x v="7"/>
    <x v="1"/>
  </r>
  <r>
    <x v="1262"/>
    <x v="9"/>
    <x v="2"/>
    <n v="32"/>
    <n v="96"/>
    <x v="48"/>
    <d v="2025-02-20T00:00:00"/>
    <x v="1"/>
    <x v="0"/>
    <x v="0"/>
    <x v="0"/>
    <x v="8"/>
    <x v="1"/>
    <x v="7"/>
    <x v="1"/>
  </r>
  <r>
    <x v="1263"/>
    <x v="9"/>
    <x v="1"/>
    <n v="110.8"/>
    <n v="221.6"/>
    <x v="48"/>
    <d v="2025-02-18T00:00:00"/>
    <x v="1"/>
    <x v="0"/>
    <x v="2"/>
    <x v="0"/>
    <x v="8"/>
    <x v="7"/>
    <x v="7"/>
    <x v="1"/>
  </r>
  <r>
    <x v="1264"/>
    <x v="10"/>
    <x v="15"/>
    <n v="36.1"/>
    <n v="469.3"/>
    <x v="48"/>
    <d v="2025-02-21T00:00:00"/>
    <x v="2"/>
    <x v="0"/>
    <x v="1"/>
    <x v="0"/>
    <x v="8"/>
    <x v="2"/>
    <x v="7"/>
    <x v="2"/>
  </r>
  <r>
    <x v="1265"/>
    <x v="0"/>
    <x v="0"/>
    <n v="24.1"/>
    <n v="24.1"/>
    <x v="48"/>
    <d v="2025-02-20T00:00:00"/>
    <x v="2"/>
    <x v="4"/>
    <x v="2"/>
    <x v="0"/>
    <x v="8"/>
    <x v="1"/>
    <x v="7"/>
    <x v="2"/>
  </r>
  <r>
    <x v="1266"/>
    <x v="19"/>
    <x v="2"/>
    <n v="30.5"/>
    <n v="91.5"/>
    <x v="48"/>
    <d v="2025-02-20T00:00:00"/>
    <x v="1"/>
    <x v="1"/>
    <x v="0"/>
    <x v="0"/>
    <x v="8"/>
    <x v="1"/>
    <x v="7"/>
    <x v="1"/>
  </r>
  <r>
    <x v="1267"/>
    <x v="18"/>
    <x v="13"/>
    <n v="68.3"/>
    <n v="409.79999999999995"/>
    <x v="48"/>
    <d v="2025-02-21T00:00:00"/>
    <x v="1"/>
    <x v="0"/>
    <x v="0"/>
    <x v="0"/>
    <x v="8"/>
    <x v="2"/>
    <x v="7"/>
    <x v="1"/>
  </r>
  <r>
    <x v="1268"/>
    <x v="7"/>
    <x v="2"/>
    <n v="43.3"/>
    <n v="129.89999999999998"/>
    <x v="48"/>
    <d v="2025-02-22T00:00:00"/>
    <x v="2"/>
    <x v="0"/>
    <x v="0"/>
    <x v="0"/>
    <x v="17"/>
    <x v="5"/>
    <x v="7"/>
    <x v="2"/>
  </r>
  <r>
    <x v="1269"/>
    <x v="3"/>
    <x v="0"/>
    <n v="101.7"/>
    <n v="101.7"/>
    <x v="48"/>
    <d v="2025-02-21T00:00:00"/>
    <x v="2"/>
    <x v="0"/>
    <x v="1"/>
    <x v="0"/>
    <x v="17"/>
    <x v="2"/>
    <x v="7"/>
    <x v="2"/>
  </r>
  <r>
    <x v="1270"/>
    <x v="11"/>
    <x v="1"/>
    <n v="54.2"/>
    <n v="108.4"/>
    <x v="48"/>
    <d v="2025-02-19T00:00:00"/>
    <x v="2"/>
    <x v="0"/>
    <x v="1"/>
    <x v="0"/>
    <x v="17"/>
    <x v="3"/>
    <x v="7"/>
    <x v="2"/>
  </r>
  <r>
    <x v="1271"/>
    <x v="16"/>
    <x v="1"/>
    <n v="51"/>
    <n v="102"/>
    <x v="48"/>
    <d v="2025-02-18T00:00:00"/>
    <x v="1"/>
    <x v="1"/>
    <x v="0"/>
    <x v="0"/>
    <x v="26"/>
    <x v="7"/>
    <x v="7"/>
    <x v="1"/>
  </r>
  <r>
    <x v="1272"/>
    <x v="4"/>
    <x v="1"/>
    <n v="23.1"/>
    <n v="46.2"/>
    <x v="48"/>
    <d v="2025-02-21T00:00:00"/>
    <x v="1"/>
    <x v="1"/>
    <x v="0"/>
    <x v="0"/>
    <x v="10"/>
    <x v="2"/>
    <x v="7"/>
    <x v="1"/>
  </r>
  <r>
    <x v="1273"/>
    <x v="12"/>
    <x v="13"/>
    <n v="60.1"/>
    <n v="360.6"/>
    <x v="48"/>
    <d v="2025-02-18T00:00:00"/>
    <x v="2"/>
    <x v="3"/>
    <x v="0"/>
    <x v="0"/>
    <x v="11"/>
    <x v="7"/>
    <x v="7"/>
    <x v="2"/>
  </r>
  <r>
    <x v="1274"/>
    <x v="2"/>
    <x v="3"/>
    <n v="87.5"/>
    <n v="612.5"/>
    <x v="48"/>
    <d v="2025-02-20T00:00:00"/>
    <x v="2"/>
    <x v="0"/>
    <x v="1"/>
    <x v="0"/>
    <x v="11"/>
    <x v="1"/>
    <x v="7"/>
    <x v="2"/>
  </r>
  <r>
    <x v="1275"/>
    <x v="1"/>
    <x v="2"/>
    <n v="51"/>
    <n v="153"/>
    <x v="48"/>
    <d v="2025-02-19T00:00:00"/>
    <x v="2"/>
    <x v="1"/>
    <x v="0"/>
    <x v="0"/>
    <x v="11"/>
    <x v="3"/>
    <x v="7"/>
    <x v="2"/>
  </r>
  <r>
    <x v="1276"/>
    <x v="8"/>
    <x v="12"/>
    <n v="19.2"/>
    <n v="76.8"/>
    <x v="48"/>
    <d v="2025-02-20T00:00:00"/>
    <x v="2"/>
    <x v="0"/>
    <x v="0"/>
    <x v="0"/>
    <x v="11"/>
    <x v="1"/>
    <x v="7"/>
    <x v="2"/>
  </r>
  <r>
    <x v="1277"/>
    <x v="5"/>
    <x v="8"/>
    <n v="26.5"/>
    <n v="212"/>
    <x v="48"/>
    <d v="2025-02-19T00:00:00"/>
    <x v="0"/>
    <x v="3"/>
    <x v="2"/>
    <x v="0"/>
    <x v="11"/>
    <x v="3"/>
    <x v="7"/>
    <x v="0"/>
  </r>
  <r>
    <x v="1278"/>
    <x v="2"/>
    <x v="1"/>
    <n v="220.3"/>
    <n v="440.6"/>
    <x v="48"/>
    <d v="2025-02-19T00:00:00"/>
    <x v="2"/>
    <x v="1"/>
    <x v="4"/>
    <x v="0"/>
    <x v="53"/>
    <x v="3"/>
    <x v="7"/>
    <x v="2"/>
  </r>
  <r>
    <x v="1279"/>
    <x v="8"/>
    <x v="2"/>
    <n v="45.7"/>
    <n v="137.10000000000002"/>
    <x v="48"/>
    <d v="2025-02-19T00:00:00"/>
    <x v="2"/>
    <x v="4"/>
    <x v="0"/>
    <x v="0"/>
    <x v="30"/>
    <x v="3"/>
    <x v="7"/>
    <x v="2"/>
  </r>
  <r>
    <x v="1280"/>
    <x v="5"/>
    <x v="9"/>
    <n v="47.1"/>
    <n v="235.5"/>
    <x v="48"/>
    <d v="2025-02-22T00:00:00"/>
    <x v="2"/>
    <x v="3"/>
    <x v="0"/>
    <x v="0"/>
    <x v="13"/>
    <x v="5"/>
    <x v="7"/>
    <x v="2"/>
  </r>
  <r>
    <x v="1281"/>
    <x v="1"/>
    <x v="9"/>
    <n v="81.7"/>
    <n v="408.5"/>
    <x v="48"/>
    <d v="2025-02-19T00:00:00"/>
    <x v="2"/>
    <x v="0"/>
    <x v="2"/>
    <x v="0"/>
    <x v="21"/>
    <x v="3"/>
    <x v="7"/>
    <x v="2"/>
  </r>
  <r>
    <x v="1282"/>
    <x v="6"/>
    <x v="7"/>
    <n v="97.8"/>
    <n v="978"/>
    <x v="48"/>
    <d v="2025-02-18T00:00:00"/>
    <x v="1"/>
    <x v="1"/>
    <x v="1"/>
    <x v="0"/>
    <x v="21"/>
    <x v="7"/>
    <x v="7"/>
    <x v="1"/>
  </r>
  <r>
    <x v="1283"/>
    <x v="6"/>
    <x v="2"/>
    <n v="42.4"/>
    <n v="127.19999999999999"/>
    <x v="48"/>
    <d v="2025-02-19T00:00:00"/>
    <x v="2"/>
    <x v="0"/>
    <x v="2"/>
    <x v="0"/>
    <x v="54"/>
    <x v="3"/>
    <x v="7"/>
    <x v="2"/>
  </r>
  <r>
    <x v="1284"/>
    <x v="2"/>
    <x v="7"/>
    <n v="74.5"/>
    <n v="745"/>
    <x v="48"/>
    <d v="2025-02-19T00:00:00"/>
    <x v="1"/>
    <x v="2"/>
    <x v="1"/>
    <x v="0"/>
    <x v="1"/>
    <x v="3"/>
    <x v="7"/>
    <x v="1"/>
  </r>
  <r>
    <x v="1285"/>
    <x v="17"/>
    <x v="13"/>
    <n v="47.4"/>
    <n v="284.39999999999998"/>
    <x v="48"/>
    <d v="2025-02-19T00:00:00"/>
    <x v="1"/>
    <x v="1"/>
    <x v="0"/>
    <x v="0"/>
    <x v="1"/>
    <x v="3"/>
    <x v="7"/>
    <x v="1"/>
  </r>
  <r>
    <x v="1286"/>
    <x v="14"/>
    <x v="2"/>
    <n v="17.3"/>
    <n v="51.900000000000006"/>
    <x v="49"/>
    <d v="2025-02-22T00:00:00"/>
    <x v="1"/>
    <x v="2"/>
    <x v="2"/>
    <x v="0"/>
    <x v="1"/>
    <x v="2"/>
    <x v="7"/>
    <x v="1"/>
  </r>
  <r>
    <x v="1287"/>
    <x v="12"/>
    <x v="12"/>
    <n v="77.900000000000006"/>
    <n v="311.60000000000002"/>
    <x v="49"/>
    <d v="2025-02-20T00:00:00"/>
    <x v="1"/>
    <x v="1"/>
    <x v="0"/>
    <x v="0"/>
    <x v="2"/>
    <x v="3"/>
    <x v="7"/>
    <x v="1"/>
  </r>
  <r>
    <x v="1288"/>
    <x v="8"/>
    <x v="0"/>
    <n v="29.1"/>
    <n v="29.1"/>
    <x v="49"/>
    <d v="2025-02-22T00:00:00"/>
    <x v="1"/>
    <x v="0"/>
    <x v="2"/>
    <x v="0"/>
    <x v="50"/>
    <x v="2"/>
    <x v="7"/>
    <x v="1"/>
  </r>
  <r>
    <x v="1289"/>
    <x v="8"/>
    <x v="0"/>
    <n v="49"/>
    <n v="49"/>
    <x v="49"/>
    <d v="2025-02-20T00:00:00"/>
    <x v="1"/>
    <x v="1"/>
    <x v="0"/>
    <x v="0"/>
    <x v="3"/>
    <x v="3"/>
    <x v="7"/>
    <x v="1"/>
  </r>
  <r>
    <x v="1290"/>
    <x v="8"/>
    <x v="13"/>
    <n v="21.1"/>
    <n v="126.60000000000001"/>
    <x v="49"/>
    <d v="2025-02-26T00:00:00"/>
    <x v="1"/>
    <x v="0"/>
    <x v="2"/>
    <x v="0"/>
    <x v="3"/>
    <x v="6"/>
    <x v="7"/>
    <x v="1"/>
  </r>
  <r>
    <x v="1291"/>
    <x v="4"/>
    <x v="10"/>
    <n v="36.9"/>
    <n v="701.1"/>
    <x v="49"/>
    <d v="2025-02-19T00:00:00"/>
    <x v="2"/>
    <x v="0"/>
    <x v="0"/>
    <x v="0"/>
    <x v="3"/>
    <x v="7"/>
    <x v="7"/>
    <x v="2"/>
  </r>
  <r>
    <x v="1292"/>
    <x v="1"/>
    <x v="7"/>
    <n v="92.6"/>
    <n v="926"/>
    <x v="49"/>
    <d v="2025-02-24T00:00:00"/>
    <x v="1"/>
    <x v="4"/>
    <x v="2"/>
    <x v="0"/>
    <x v="3"/>
    <x v="0"/>
    <x v="7"/>
    <x v="1"/>
  </r>
  <r>
    <x v="1293"/>
    <x v="10"/>
    <x v="1"/>
    <n v="38"/>
    <n v="76"/>
    <x v="49"/>
    <d v="2025-02-20T00:00:00"/>
    <x v="1"/>
    <x v="1"/>
    <x v="1"/>
    <x v="0"/>
    <x v="3"/>
    <x v="3"/>
    <x v="7"/>
    <x v="1"/>
  </r>
  <r>
    <x v="1294"/>
    <x v="5"/>
    <x v="2"/>
    <n v="54.8"/>
    <n v="164.39999999999998"/>
    <x v="49"/>
    <d v="2025-02-23T00:00:00"/>
    <x v="0"/>
    <x v="0"/>
    <x v="1"/>
    <x v="0"/>
    <x v="3"/>
    <x v="5"/>
    <x v="7"/>
    <x v="0"/>
  </r>
  <r>
    <x v="1295"/>
    <x v="10"/>
    <x v="4"/>
    <n v="56.8"/>
    <n v="681.59999999999991"/>
    <x v="49"/>
    <d v="2025-02-21T00:00:00"/>
    <x v="1"/>
    <x v="1"/>
    <x v="0"/>
    <x v="0"/>
    <x v="3"/>
    <x v="1"/>
    <x v="7"/>
    <x v="1"/>
  </r>
  <r>
    <x v="1296"/>
    <x v="11"/>
    <x v="40"/>
    <n v="47.2"/>
    <n v="1557.6000000000001"/>
    <x v="49"/>
    <d v="2025-02-22T00:00:00"/>
    <x v="2"/>
    <x v="1"/>
    <x v="0"/>
    <x v="0"/>
    <x v="3"/>
    <x v="2"/>
    <x v="7"/>
    <x v="2"/>
  </r>
  <r>
    <x v="1297"/>
    <x v="7"/>
    <x v="13"/>
    <n v="45.1"/>
    <n v="270.60000000000002"/>
    <x v="49"/>
    <d v="2025-02-20T00:00:00"/>
    <x v="2"/>
    <x v="2"/>
    <x v="0"/>
    <x v="0"/>
    <x v="43"/>
    <x v="3"/>
    <x v="7"/>
    <x v="2"/>
  </r>
  <r>
    <x v="1298"/>
    <x v="4"/>
    <x v="4"/>
    <n v="25.2"/>
    <n v="302.39999999999998"/>
    <x v="49"/>
    <d v="2025-02-24T00:00:00"/>
    <x v="2"/>
    <x v="2"/>
    <x v="0"/>
    <x v="0"/>
    <x v="16"/>
    <x v="0"/>
    <x v="7"/>
    <x v="2"/>
  </r>
  <r>
    <x v="1299"/>
    <x v="8"/>
    <x v="0"/>
    <n v="22"/>
    <n v="22"/>
    <x v="49"/>
    <d v="2025-02-20T00:00:00"/>
    <x v="2"/>
    <x v="0"/>
    <x v="0"/>
    <x v="0"/>
    <x v="5"/>
    <x v="3"/>
    <x v="7"/>
    <x v="2"/>
  </r>
  <r>
    <x v="1300"/>
    <x v="6"/>
    <x v="1"/>
    <n v="42.2"/>
    <n v="84.4"/>
    <x v="49"/>
    <d v="2025-02-20T00:00:00"/>
    <x v="2"/>
    <x v="1"/>
    <x v="1"/>
    <x v="0"/>
    <x v="23"/>
    <x v="3"/>
    <x v="7"/>
    <x v="2"/>
  </r>
  <r>
    <x v="1301"/>
    <x v="13"/>
    <x v="2"/>
    <n v="20.5"/>
    <n v="61.5"/>
    <x v="49"/>
    <d v="2025-02-20T00:00:00"/>
    <x v="1"/>
    <x v="0"/>
    <x v="1"/>
    <x v="0"/>
    <x v="6"/>
    <x v="3"/>
    <x v="7"/>
    <x v="1"/>
  </r>
  <r>
    <x v="1302"/>
    <x v="2"/>
    <x v="0"/>
    <n v="190.4"/>
    <n v="190.4"/>
    <x v="49"/>
    <d v="2025-02-24T00:00:00"/>
    <x v="1"/>
    <x v="1"/>
    <x v="4"/>
    <x v="0"/>
    <x v="6"/>
    <x v="0"/>
    <x v="7"/>
    <x v="1"/>
  </r>
  <r>
    <x v="1303"/>
    <x v="2"/>
    <x v="0"/>
    <n v="121.9"/>
    <n v="121.9"/>
    <x v="49"/>
    <d v="2025-02-21T00:00:00"/>
    <x v="2"/>
    <x v="1"/>
    <x v="2"/>
    <x v="0"/>
    <x v="6"/>
    <x v="1"/>
    <x v="7"/>
    <x v="2"/>
  </r>
  <r>
    <x v="1304"/>
    <x v="2"/>
    <x v="13"/>
    <n v="149.19999999999999"/>
    <n v="895.19999999999993"/>
    <x v="49"/>
    <d v="2025-02-20T00:00:00"/>
    <x v="2"/>
    <x v="2"/>
    <x v="2"/>
    <x v="0"/>
    <x v="7"/>
    <x v="3"/>
    <x v="7"/>
    <x v="2"/>
  </r>
  <r>
    <x v="1305"/>
    <x v="2"/>
    <x v="0"/>
    <n v="54.1"/>
    <n v="54.1"/>
    <x v="49"/>
    <d v="2025-02-28T00:00:00"/>
    <x v="2"/>
    <x v="2"/>
    <x v="2"/>
    <x v="0"/>
    <x v="7"/>
    <x v="8"/>
    <x v="7"/>
    <x v="2"/>
  </r>
  <r>
    <x v="1306"/>
    <x v="5"/>
    <x v="1"/>
    <n v="27.4"/>
    <n v="54.8"/>
    <x v="49"/>
    <d v="2025-02-21T00:00:00"/>
    <x v="1"/>
    <x v="1"/>
    <x v="0"/>
    <x v="0"/>
    <x v="8"/>
    <x v="1"/>
    <x v="7"/>
    <x v="1"/>
  </r>
  <r>
    <x v="1307"/>
    <x v="0"/>
    <x v="15"/>
    <n v="30.4"/>
    <n v="395.2"/>
    <x v="49"/>
    <d v="2025-02-20T00:00:00"/>
    <x v="2"/>
    <x v="0"/>
    <x v="2"/>
    <x v="0"/>
    <x v="8"/>
    <x v="3"/>
    <x v="7"/>
    <x v="2"/>
  </r>
  <r>
    <x v="1308"/>
    <x v="12"/>
    <x v="2"/>
    <n v="46.2"/>
    <n v="138.60000000000002"/>
    <x v="49"/>
    <d v="2025-02-21T00:00:00"/>
    <x v="1"/>
    <x v="2"/>
    <x v="1"/>
    <x v="0"/>
    <x v="17"/>
    <x v="1"/>
    <x v="7"/>
    <x v="1"/>
  </r>
  <r>
    <x v="1309"/>
    <x v="7"/>
    <x v="8"/>
    <n v="78.599999999999994"/>
    <n v="628.79999999999995"/>
    <x v="49"/>
    <d v="2025-02-23T00:00:00"/>
    <x v="1"/>
    <x v="3"/>
    <x v="0"/>
    <x v="0"/>
    <x v="17"/>
    <x v="5"/>
    <x v="7"/>
    <x v="1"/>
  </r>
  <r>
    <x v="1310"/>
    <x v="17"/>
    <x v="7"/>
    <n v="25.9"/>
    <n v="259"/>
    <x v="49"/>
    <d v="2025-02-25T00:00:00"/>
    <x v="1"/>
    <x v="4"/>
    <x v="0"/>
    <x v="0"/>
    <x v="9"/>
    <x v="4"/>
    <x v="7"/>
    <x v="1"/>
  </r>
  <r>
    <x v="1311"/>
    <x v="6"/>
    <x v="0"/>
    <n v="134.80000000000001"/>
    <n v="134.80000000000001"/>
    <x v="49"/>
    <d v="2025-02-21T00:00:00"/>
    <x v="1"/>
    <x v="2"/>
    <x v="2"/>
    <x v="0"/>
    <x v="9"/>
    <x v="1"/>
    <x v="7"/>
    <x v="1"/>
  </r>
  <r>
    <x v="1312"/>
    <x v="15"/>
    <x v="9"/>
    <n v="43.1"/>
    <n v="215.5"/>
    <x v="49"/>
    <d v="2025-02-21T00:00:00"/>
    <x v="2"/>
    <x v="0"/>
    <x v="0"/>
    <x v="0"/>
    <x v="11"/>
    <x v="1"/>
    <x v="7"/>
    <x v="2"/>
  </r>
  <r>
    <x v="1313"/>
    <x v="2"/>
    <x v="1"/>
    <n v="215.6"/>
    <n v="431.2"/>
    <x v="49"/>
    <d v="2025-02-20T00:00:00"/>
    <x v="2"/>
    <x v="2"/>
    <x v="0"/>
    <x v="0"/>
    <x v="18"/>
    <x v="3"/>
    <x v="7"/>
    <x v="2"/>
  </r>
  <r>
    <x v="1314"/>
    <x v="6"/>
    <x v="1"/>
    <n v="80.7"/>
    <n v="161.4"/>
    <x v="49"/>
    <d v="2025-02-22T00:00:00"/>
    <x v="2"/>
    <x v="3"/>
    <x v="0"/>
    <x v="0"/>
    <x v="18"/>
    <x v="2"/>
    <x v="7"/>
    <x v="2"/>
  </r>
  <r>
    <x v="1315"/>
    <x v="10"/>
    <x v="3"/>
    <n v="20.6"/>
    <n v="144.20000000000002"/>
    <x v="49"/>
    <d v="2025-02-24T00:00:00"/>
    <x v="0"/>
    <x v="2"/>
    <x v="1"/>
    <x v="0"/>
    <x v="19"/>
    <x v="0"/>
    <x v="7"/>
    <x v="0"/>
  </r>
  <r>
    <x v="1316"/>
    <x v="12"/>
    <x v="2"/>
    <n v="37.1"/>
    <n v="111.30000000000001"/>
    <x v="49"/>
    <d v="2025-02-20T00:00:00"/>
    <x v="2"/>
    <x v="0"/>
    <x v="0"/>
    <x v="0"/>
    <x v="52"/>
    <x v="3"/>
    <x v="7"/>
    <x v="2"/>
  </r>
  <r>
    <x v="1317"/>
    <x v="12"/>
    <x v="0"/>
    <n v="104.8"/>
    <n v="104.8"/>
    <x v="50"/>
    <d v="2025-02-22T00:00:00"/>
    <x v="2"/>
    <x v="0"/>
    <x v="0"/>
    <x v="0"/>
    <x v="13"/>
    <x v="1"/>
    <x v="7"/>
    <x v="2"/>
  </r>
  <r>
    <x v="1318"/>
    <x v="8"/>
    <x v="1"/>
    <n v="59"/>
    <n v="118"/>
    <x v="50"/>
    <d v="2025-02-21T00:00:00"/>
    <x v="1"/>
    <x v="1"/>
    <x v="0"/>
    <x v="0"/>
    <x v="21"/>
    <x v="3"/>
    <x v="7"/>
    <x v="1"/>
  </r>
  <r>
    <x v="1319"/>
    <x v="8"/>
    <x v="1"/>
    <n v="32.299999999999997"/>
    <n v="64.599999999999994"/>
    <x v="50"/>
    <d v="2025-02-21T00:00:00"/>
    <x v="1"/>
    <x v="0"/>
    <x v="2"/>
    <x v="0"/>
    <x v="21"/>
    <x v="3"/>
    <x v="7"/>
    <x v="1"/>
  </r>
  <r>
    <x v="1320"/>
    <x v="8"/>
    <x v="12"/>
    <n v="28.9"/>
    <n v="115.6"/>
    <x v="50"/>
    <d v="2025-02-27T00:00:00"/>
    <x v="1"/>
    <x v="0"/>
    <x v="0"/>
    <x v="0"/>
    <x v="1"/>
    <x v="6"/>
    <x v="7"/>
    <x v="1"/>
  </r>
  <r>
    <x v="1321"/>
    <x v="0"/>
    <x v="1"/>
    <n v="29.6"/>
    <n v="59.2"/>
    <x v="50"/>
    <d v="2025-02-22T00:00:00"/>
    <x v="1"/>
    <x v="0"/>
    <x v="0"/>
    <x v="0"/>
    <x v="1"/>
    <x v="1"/>
    <x v="7"/>
    <x v="1"/>
  </r>
  <r>
    <x v="1322"/>
    <x v="0"/>
    <x v="9"/>
    <n v="29.4"/>
    <n v="147"/>
    <x v="50"/>
    <d v="2025-02-23T00:00:00"/>
    <x v="2"/>
    <x v="0"/>
    <x v="0"/>
    <x v="0"/>
    <x v="1"/>
    <x v="2"/>
    <x v="7"/>
    <x v="2"/>
  </r>
  <r>
    <x v="1323"/>
    <x v="1"/>
    <x v="1"/>
    <n v="40.6"/>
    <n v="81.2"/>
    <x v="50"/>
    <d v="2025-02-21T00:00:00"/>
    <x v="1"/>
    <x v="0"/>
    <x v="4"/>
    <x v="0"/>
    <x v="2"/>
    <x v="3"/>
    <x v="7"/>
    <x v="1"/>
  </r>
  <r>
    <x v="1324"/>
    <x v="0"/>
    <x v="2"/>
    <n v="32.5"/>
    <n v="97.5"/>
    <x v="50"/>
    <d v="2025-02-21T00:00:00"/>
    <x v="1"/>
    <x v="3"/>
    <x v="2"/>
    <x v="0"/>
    <x v="22"/>
    <x v="3"/>
    <x v="7"/>
    <x v="1"/>
  </r>
  <r>
    <x v="1325"/>
    <x v="15"/>
    <x v="0"/>
    <n v="26.2"/>
    <n v="26.2"/>
    <x v="50"/>
    <d v="2025-02-22T00:00:00"/>
    <x v="1"/>
    <x v="2"/>
    <x v="0"/>
    <x v="0"/>
    <x v="55"/>
    <x v="1"/>
    <x v="7"/>
    <x v="1"/>
  </r>
  <r>
    <x v="1326"/>
    <x v="10"/>
    <x v="17"/>
    <n v="44"/>
    <n v="1320"/>
    <x v="50"/>
    <d v="2025-02-26T00:00:00"/>
    <x v="1"/>
    <x v="4"/>
    <x v="0"/>
    <x v="0"/>
    <x v="3"/>
    <x v="4"/>
    <x v="7"/>
    <x v="1"/>
  </r>
  <r>
    <x v="1327"/>
    <x v="7"/>
    <x v="12"/>
    <n v="65.599999999999994"/>
    <n v="262.39999999999998"/>
    <x v="50"/>
    <d v="2025-02-21T00:00:00"/>
    <x v="2"/>
    <x v="1"/>
    <x v="1"/>
    <x v="0"/>
    <x v="3"/>
    <x v="3"/>
    <x v="7"/>
    <x v="2"/>
  </r>
  <r>
    <x v="1328"/>
    <x v="5"/>
    <x v="4"/>
    <n v="32.6"/>
    <n v="391.20000000000005"/>
    <x v="50"/>
    <d v="2025-02-21T00:00:00"/>
    <x v="1"/>
    <x v="4"/>
    <x v="0"/>
    <x v="0"/>
    <x v="3"/>
    <x v="3"/>
    <x v="7"/>
    <x v="1"/>
  </r>
  <r>
    <x v="1329"/>
    <x v="16"/>
    <x v="1"/>
    <n v="88.7"/>
    <n v="177.4"/>
    <x v="50"/>
    <d v="2025-02-21T00:00:00"/>
    <x v="0"/>
    <x v="3"/>
    <x v="2"/>
    <x v="0"/>
    <x v="3"/>
    <x v="3"/>
    <x v="7"/>
    <x v="0"/>
  </r>
  <r>
    <x v="1330"/>
    <x v="4"/>
    <x v="1"/>
    <n v="21.3"/>
    <n v="42.6"/>
    <x v="50"/>
    <d v="2025-02-21T00:00:00"/>
    <x v="1"/>
    <x v="0"/>
    <x v="0"/>
    <x v="0"/>
    <x v="3"/>
    <x v="3"/>
    <x v="7"/>
    <x v="1"/>
  </r>
  <r>
    <x v="1331"/>
    <x v="4"/>
    <x v="13"/>
    <n v="50.6"/>
    <n v="303.60000000000002"/>
    <x v="50"/>
    <d v="2025-02-24T00:00:00"/>
    <x v="2"/>
    <x v="2"/>
    <x v="0"/>
    <x v="0"/>
    <x v="3"/>
    <x v="5"/>
    <x v="7"/>
    <x v="2"/>
  </r>
  <r>
    <x v="1332"/>
    <x v="9"/>
    <x v="38"/>
    <n v="86.9"/>
    <n v="1824.9"/>
    <x v="50"/>
    <d v="2025-02-23T00:00:00"/>
    <x v="2"/>
    <x v="0"/>
    <x v="1"/>
    <x v="0"/>
    <x v="3"/>
    <x v="2"/>
    <x v="7"/>
    <x v="2"/>
  </r>
  <r>
    <x v="1333"/>
    <x v="11"/>
    <x v="2"/>
    <n v="31.8"/>
    <n v="95.4"/>
    <x v="50"/>
    <d v="2025-02-22T00:00:00"/>
    <x v="1"/>
    <x v="0"/>
    <x v="2"/>
    <x v="0"/>
    <x v="3"/>
    <x v="1"/>
    <x v="7"/>
    <x v="1"/>
  </r>
  <r>
    <x v="1334"/>
    <x v="8"/>
    <x v="0"/>
    <n v="19"/>
    <n v="19"/>
    <x v="50"/>
    <d v="2025-02-21T00:00:00"/>
    <x v="2"/>
    <x v="0"/>
    <x v="2"/>
    <x v="0"/>
    <x v="3"/>
    <x v="3"/>
    <x v="7"/>
    <x v="2"/>
  </r>
  <r>
    <x v="1335"/>
    <x v="5"/>
    <x v="0"/>
    <n v="54.5"/>
    <n v="54.5"/>
    <x v="50"/>
    <d v="2025-02-22T00:00:00"/>
    <x v="1"/>
    <x v="0"/>
    <x v="0"/>
    <x v="0"/>
    <x v="3"/>
    <x v="1"/>
    <x v="7"/>
    <x v="1"/>
  </r>
  <r>
    <x v="1336"/>
    <x v="9"/>
    <x v="9"/>
    <n v="68.900000000000006"/>
    <n v="344.5"/>
    <x v="50"/>
    <d v="2025-02-22T00:00:00"/>
    <x v="1"/>
    <x v="4"/>
    <x v="1"/>
    <x v="0"/>
    <x v="3"/>
    <x v="1"/>
    <x v="7"/>
    <x v="1"/>
  </r>
  <r>
    <x v="1337"/>
    <x v="6"/>
    <x v="2"/>
    <n v="84"/>
    <n v="252"/>
    <x v="50"/>
    <d v="2025-02-21T00:00:00"/>
    <x v="1"/>
    <x v="1"/>
    <x v="4"/>
    <x v="0"/>
    <x v="16"/>
    <x v="3"/>
    <x v="7"/>
    <x v="1"/>
  </r>
  <r>
    <x v="1338"/>
    <x v="15"/>
    <x v="8"/>
    <n v="23.1"/>
    <n v="184.8"/>
    <x v="50"/>
    <d v="2025-02-25T00:00:00"/>
    <x v="1"/>
    <x v="0"/>
    <x v="2"/>
    <x v="0"/>
    <x v="23"/>
    <x v="0"/>
    <x v="7"/>
    <x v="1"/>
  </r>
  <r>
    <x v="1339"/>
    <x v="7"/>
    <x v="1"/>
    <n v="62.4"/>
    <n v="124.8"/>
    <x v="50"/>
    <d v="2025-02-21T00:00:00"/>
    <x v="2"/>
    <x v="0"/>
    <x v="1"/>
    <x v="0"/>
    <x v="6"/>
    <x v="3"/>
    <x v="7"/>
    <x v="2"/>
  </r>
  <r>
    <x v="1340"/>
    <x v="6"/>
    <x v="4"/>
    <n v="40.700000000000003"/>
    <n v="488.40000000000003"/>
    <x v="50"/>
    <d v="2025-02-22T00:00:00"/>
    <x v="1"/>
    <x v="1"/>
    <x v="2"/>
    <x v="0"/>
    <x v="6"/>
    <x v="1"/>
    <x v="7"/>
    <x v="1"/>
  </r>
  <r>
    <x v="1341"/>
    <x v="6"/>
    <x v="0"/>
    <n v="49.6"/>
    <n v="49.6"/>
    <x v="50"/>
    <d v="2025-02-23T00:00:00"/>
    <x v="1"/>
    <x v="2"/>
    <x v="0"/>
    <x v="0"/>
    <x v="7"/>
    <x v="2"/>
    <x v="7"/>
    <x v="1"/>
  </r>
  <r>
    <x v="1342"/>
    <x v="7"/>
    <x v="41"/>
    <n v="66.599999999999994"/>
    <n v="2996.9999999999995"/>
    <x v="50"/>
    <d v="2025-02-23T00:00:00"/>
    <x v="1"/>
    <x v="2"/>
    <x v="0"/>
    <x v="0"/>
    <x v="8"/>
    <x v="2"/>
    <x v="7"/>
    <x v="1"/>
  </r>
  <r>
    <x v="1343"/>
    <x v="8"/>
    <x v="2"/>
    <n v="26.4"/>
    <n v="79.199999999999989"/>
    <x v="50"/>
    <d v="2025-02-21T00:00:00"/>
    <x v="2"/>
    <x v="1"/>
    <x v="1"/>
    <x v="0"/>
    <x v="8"/>
    <x v="3"/>
    <x v="7"/>
    <x v="2"/>
  </r>
  <r>
    <x v="1344"/>
    <x v="0"/>
    <x v="1"/>
    <n v="17.2"/>
    <n v="34.4"/>
    <x v="50"/>
    <d v="2025-02-23T00:00:00"/>
    <x v="1"/>
    <x v="2"/>
    <x v="1"/>
    <x v="0"/>
    <x v="8"/>
    <x v="2"/>
    <x v="7"/>
    <x v="1"/>
  </r>
  <r>
    <x v="1345"/>
    <x v="5"/>
    <x v="8"/>
    <n v="58.1"/>
    <n v="464.8"/>
    <x v="50"/>
    <d v="2025-02-23T00:00:00"/>
    <x v="2"/>
    <x v="4"/>
    <x v="0"/>
    <x v="0"/>
    <x v="8"/>
    <x v="2"/>
    <x v="7"/>
    <x v="2"/>
  </r>
  <r>
    <x v="1346"/>
    <x v="15"/>
    <x v="12"/>
    <n v="31.5"/>
    <n v="126"/>
    <x v="50"/>
    <d v="2025-02-23T00:00:00"/>
    <x v="2"/>
    <x v="4"/>
    <x v="4"/>
    <x v="0"/>
    <x v="8"/>
    <x v="2"/>
    <x v="7"/>
    <x v="2"/>
  </r>
  <r>
    <x v="1347"/>
    <x v="0"/>
    <x v="0"/>
    <n v="27.1"/>
    <n v="27.1"/>
    <x v="50"/>
    <d v="2025-02-22T00:00:00"/>
    <x v="2"/>
    <x v="0"/>
    <x v="1"/>
    <x v="0"/>
    <x v="17"/>
    <x v="1"/>
    <x v="7"/>
    <x v="2"/>
  </r>
  <r>
    <x v="1348"/>
    <x v="18"/>
    <x v="12"/>
    <n v="28.5"/>
    <n v="114"/>
    <x v="50"/>
    <d v="2025-02-22T00:00:00"/>
    <x v="1"/>
    <x v="1"/>
    <x v="2"/>
    <x v="0"/>
    <x v="9"/>
    <x v="1"/>
    <x v="7"/>
    <x v="1"/>
  </r>
  <r>
    <x v="1349"/>
    <x v="10"/>
    <x v="0"/>
    <n v="40.5"/>
    <n v="40.5"/>
    <x v="51"/>
    <d v="2025-02-23T00:00:00"/>
    <x v="3"/>
    <x v="2"/>
    <x v="0"/>
    <x v="0"/>
    <x v="9"/>
    <x v="1"/>
    <x v="7"/>
    <x v="3"/>
  </r>
  <r>
    <x v="1350"/>
    <x v="2"/>
    <x v="2"/>
    <n v="77.900000000000006"/>
    <n v="233.70000000000002"/>
    <x v="51"/>
    <d v="2025-02-25T00:00:00"/>
    <x v="2"/>
    <x v="1"/>
    <x v="2"/>
    <x v="0"/>
    <x v="19"/>
    <x v="5"/>
    <x v="7"/>
    <x v="2"/>
  </r>
  <r>
    <x v="1351"/>
    <x v="18"/>
    <x v="12"/>
    <n v="37.1"/>
    <n v="148.4"/>
    <x v="51"/>
    <d v="2025-02-23T00:00:00"/>
    <x v="1"/>
    <x v="4"/>
    <x v="2"/>
    <x v="0"/>
    <x v="19"/>
    <x v="1"/>
    <x v="7"/>
    <x v="1"/>
  </r>
  <r>
    <x v="1352"/>
    <x v="16"/>
    <x v="2"/>
    <n v="51.6"/>
    <n v="154.80000000000001"/>
    <x v="51"/>
    <d v="2025-03-01T00:00:00"/>
    <x v="2"/>
    <x v="0"/>
    <x v="4"/>
    <x v="0"/>
    <x v="19"/>
    <x v="9"/>
    <x v="7"/>
    <x v="2"/>
  </r>
  <r>
    <x v="1353"/>
    <x v="7"/>
    <x v="2"/>
    <n v="98"/>
    <n v="294"/>
    <x v="51"/>
    <d v="2025-02-22T00:00:00"/>
    <x v="1"/>
    <x v="1"/>
    <x v="1"/>
    <x v="0"/>
    <x v="19"/>
    <x v="3"/>
    <x v="7"/>
    <x v="1"/>
  </r>
  <r>
    <x v="1354"/>
    <x v="6"/>
    <x v="3"/>
    <n v="41.4"/>
    <n v="289.8"/>
    <x v="51"/>
    <d v="2025-02-22T00:00:00"/>
    <x v="1"/>
    <x v="1"/>
    <x v="0"/>
    <x v="0"/>
    <x v="20"/>
    <x v="3"/>
    <x v="7"/>
    <x v="1"/>
  </r>
  <r>
    <x v="1355"/>
    <x v="11"/>
    <x v="8"/>
    <n v="34"/>
    <n v="272"/>
    <x v="51"/>
    <d v="2025-02-26T00:00:00"/>
    <x v="2"/>
    <x v="0"/>
    <x v="2"/>
    <x v="0"/>
    <x v="52"/>
    <x v="0"/>
    <x v="7"/>
    <x v="2"/>
  </r>
  <r>
    <x v="1356"/>
    <x v="6"/>
    <x v="0"/>
    <n v="66.3"/>
    <n v="66.3"/>
    <x v="51"/>
    <d v="2025-02-22T00:00:00"/>
    <x v="2"/>
    <x v="1"/>
    <x v="0"/>
    <x v="0"/>
    <x v="13"/>
    <x v="3"/>
    <x v="7"/>
    <x v="2"/>
  </r>
  <r>
    <x v="1357"/>
    <x v="7"/>
    <x v="0"/>
    <n v="33.5"/>
    <n v="33.5"/>
    <x v="51"/>
    <d v="2025-02-25T00:00:00"/>
    <x v="1"/>
    <x v="2"/>
    <x v="0"/>
    <x v="0"/>
    <x v="13"/>
    <x v="5"/>
    <x v="7"/>
    <x v="1"/>
  </r>
  <r>
    <x v="1358"/>
    <x v="12"/>
    <x v="1"/>
    <n v="70.8"/>
    <n v="141.6"/>
    <x v="51"/>
    <d v="2025-02-22T00:00:00"/>
    <x v="0"/>
    <x v="0"/>
    <x v="0"/>
    <x v="0"/>
    <x v="28"/>
    <x v="3"/>
    <x v="7"/>
    <x v="0"/>
  </r>
  <r>
    <x v="1359"/>
    <x v="6"/>
    <x v="1"/>
    <n v="127.6"/>
    <n v="255.2"/>
    <x v="51"/>
    <d v="2025-02-22T00:00:00"/>
    <x v="1"/>
    <x v="0"/>
    <x v="0"/>
    <x v="0"/>
    <x v="21"/>
    <x v="3"/>
    <x v="7"/>
    <x v="1"/>
  </r>
  <r>
    <x v="1360"/>
    <x v="6"/>
    <x v="2"/>
    <n v="95.9"/>
    <n v="287.70000000000005"/>
    <x v="51"/>
    <d v="2025-02-22T00:00:00"/>
    <x v="2"/>
    <x v="1"/>
    <x v="1"/>
    <x v="0"/>
    <x v="21"/>
    <x v="3"/>
    <x v="7"/>
    <x v="2"/>
  </r>
  <r>
    <x v="1361"/>
    <x v="2"/>
    <x v="1"/>
    <n v="78.099999999999994"/>
    <n v="156.19999999999999"/>
    <x v="51"/>
    <d v="2025-02-22T00:00:00"/>
    <x v="1"/>
    <x v="0"/>
    <x v="0"/>
    <x v="0"/>
    <x v="1"/>
    <x v="3"/>
    <x v="7"/>
    <x v="1"/>
  </r>
  <r>
    <x v="1362"/>
    <x v="13"/>
    <x v="1"/>
    <n v="43.2"/>
    <n v="86.4"/>
    <x v="51"/>
    <d v="2025-02-22T00:00:00"/>
    <x v="0"/>
    <x v="1"/>
    <x v="1"/>
    <x v="0"/>
    <x v="1"/>
    <x v="3"/>
    <x v="7"/>
    <x v="0"/>
  </r>
  <r>
    <x v="1363"/>
    <x v="8"/>
    <x v="12"/>
    <n v="28.4"/>
    <n v="113.6"/>
    <x v="51"/>
    <d v="2025-02-27T00:00:00"/>
    <x v="1"/>
    <x v="2"/>
    <x v="0"/>
    <x v="0"/>
    <x v="3"/>
    <x v="4"/>
    <x v="7"/>
    <x v="1"/>
  </r>
  <r>
    <x v="1364"/>
    <x v="2"/>
    <x v="1"/>
    <n v="81.7"/>
    <n v="163.4"/>
    <x v="51"/>
    <d v="2025-02-21T00:00:00"/>
    <x v="1"/>
    <x v="0"/>
    <x v="0"/>
    <x v="0"/>
    <x v="3"/>
    <x v="7"/>
    <x v="7"/>
    <x v="1"/>
  </r>
  <r>
    <x v="1365"/>
    <x v="18"/>
    <x v="1"/>
    <n v="56.7"/>
    <n v="113.4"/>
    <x v="51"/>
    <d v="2025-02-23T00:00:00"/>
    <x v="0"/>
    <x v="0"/>
    <x v="2"/>
    <x v="0"/>
    <x v="3"/>
    <x v="1"/>
    <x v="7"/>
    <x v="0"/>
  </r>
  <r>
    <x v="1366"/>
    <x v="3"/>
    <x v="12"/>
    <n v="66.5"/>
    <n v="266"/>
    <x v="51"/>
    <d v="2025-02-21T00:00:00"/>
    <x v="2"/>
    <x v="0"/>
    <x v="2"/>
    <x v="0"/>
    <x v="3"/>
    <x v="7"/>
    <x v="7"/>
    <x v="2"/>
  </r>
  <r>
    <x v="1367"/>
    <x v="1"/>
    <x v="1"/>
    <n v="105.3"/>
    <n v="210.6"/>
    <x v="51"/>
    <d v="2025-02-25T00:00:00"/>
    <x v="1"/>
    <x v="0"/>
    <x v="1"/>
    <x v="0"/>
    <x v="3"/>
    <x v="5"/>
    <x v="7"/>
    <x v="1"/>
  </r>
  <r>
    <x v="1368"/>
    <x v="10"/>
    <x v="9"/>
    <n v="33.799999999999997"/>
    <n v="169"/>
    <x v="51"/>
    <d v="2025-02-26T00:00:00"/>
    <x v="1"/>
    <x v="0"/>
    <x v="0"/>
    <x v="0"/>
    <x v="3"/>
    <x v="0"/>
    <x v="7"/>
    <x v="1"/>
  </r>
  <r>
    <x v="1369"/>
    <x v="6"/>
    <x v="2"/>
    <n v="63.4"/>
    <n v="190.2"/>
    <x v="51"/>
    <d v="2025-02-26T00:00:00"/>
    <x v="1"/>
    <x v="3"/>
    <x v="1"/>
    <x v="0"/>
    <x v="24"/>
    <x v="0"/>
    <x v="7"/>
    <x v="1"/>
  </r>
  <r>
    <x v="1370"/>
    <x v="6"/>
    <x v="2"/>
    <n v="49"/>
    <n v="147"/>
    <x v="51"/>
    <d v="2025-02-25T00:00:00"/>
    <x v="1"/>
    <x v="3"/>
    <x v="0"/>
    <x v="0"/>
    <x v="49"/>
    <x v="5"/>
    <x v="7"/>
    <x v="1"/>
  </r>
  <r>
    <x v="1371"/>
    <x v="1"/>
    <x v="1"/>
    <n v="40"/>
    <n v="80"/>
    <x v="51"/>
    <d v="2025-02-22T00:00:00"/>
    <x v="2"/>
    <x v="4"/>
    <x v="1"/>
    <x v="0"/>
    <x v="23"/>
    <x v="3"/>
    <x v="7"/>
    <x v="2"/>
  </r>
  <r>
    <x v="1372"/>
    <x v="6"/>
    <x v="12"/>
    <n v="86.3"/>
    <n v="345.2"/>
    <x v="51"/>
    <d v="2025-02-22T00:00:00"/>
    <x v="3"/>
    <x v="0"/>
    <x v="0"/>
    <x v="0"/>
    <x v="6"/>
    <x v="3"/>
    <x v="7"/>
    <x v="3"/>
  </r>
  <r>
    <x v="1373"/>
    <x v="6"/>
    <x v="0"/>
    <n v="51.6"/>
    <n v="51.6"/>
    <x v="51"/>
    <d v="2025-02-23T00:00:00"/>
    <x v="2"/>
    <x v="2"/>
    <x v="2"/>
    <x v="0"/>
    <x v="6"/>
    <x v="1"/>
    <x v="7"/>
    <x v="2"/>
  </r>
  <r>
    <x v="1374"/>
    <x v="10"/>
    <x v="2"/>
    <n v="26.7"/>
    <n v="80.099999999999994"/>
    <x v="51"/>
    <d v="2025-02-26T00:00:00"/>
    <x v="2"/>
    <x v="2"/>
    <x v="1"/>
    <x v="0"/>
    <x v="6"/>
    <x v="0"/>
    <x v="7"/>
    <x v="2"/>
  </r>
  <r>
    <x v="1375"/>
    <x v="18"/>
    <x v="1"/>
    <n v="68.099999999999994"/>
    <n v="136.19999999999999"/>
    <x v="51"/>
    <d v="2025-02-22T00:00:00"/>
    <x v="1"/>
    <x v="0"/>
    <x v="1"/>
    <x v="0"/>
    <x v="6"/>
    <x v="3"/>
    <x v="7"/>
    <x v="1"/>
  </r>
  <r>
    <x v="1376"/>
    <x v="1"/>
    <x v="0"/>
    <n v="81.7"/>
    <n v="81.7"/>
    <x v="51"/>
    <d v="2025-02-22T00:00:00"/>
    <x v="1"/>
    <x v="0"/>
    <x v="0"/>
    <x v="0"/>
    <x v="7"/>
    <x v="3"/>
    <x v="7"/>
    <x v="1"/>
  </r>
  <r>
    <x v="1377"/>
    <x v="18"/>
    <x v="7"/>
    <n v="25.1"/>
    <n v="251"/>
    <x v="51"/>
    <d v="2025-02-24T00:00:00"/>
    <x v="1"/>
    <x v="3"/>
    <x v="1"/>
    <x v="0"/>
    <x v="8"/>
    <x v="2"/>
    <x v="7"/>
    <x v="1"/>
  </r>
  <r>
    <x v="1378"/>
    <x v="8"/>
    <x v="0"/>
    <n v="20.2"/>
    <n v="20.2"/>
    <x v="51"/>
    <d v="2025-02-25T00:00:00"/>
    <x v="2"/>
    <x v="0"/>
    <x v="0"/>
    <x v="0"/>
    <x v="8"/>
    <x v="5"/>
    <x v="7"/>
    <x v="2"/>
  </r>
  <r>
    <x v="1379"/>
    <x v="8"/>
    <x v="2"/>
    <n v="15.4"/>
    <n v="46.2"/>
    <x v="51"/>
    <d v="2025-02-22T00:00:00"/>
    <x v="1"/>
    <x v="1"/>
    <x v="2"/>
    <x v="0"/>
    <x v="8"/>
    <x v="3"/>
    <x v="7"/>
    <x v="1"/>
  </r>
  <r>
    <x v="1380"/>
    <x v="10"/>
    <x v="0"/>
    <n v="59.2"/>
    <n v="59.2"/>
    <x v="51"/>
    <d v="2025-02-22T00:00:00"/>
    <x v="1"/>
    <x v="2"/>
    <x v="2"/>
    <x v="0"/>
    <x v="17"/>
    <x v="3"/>
    <x v="7"/>
    <x v="1"/>
  </r>
  <r>
    <x v="1381"/>
    <x v="0"/>
    <x v="0"/>
    <n v="46.7"/>
    <n v="46.7"/>
    <x v="51"/>
    <d v="2025-02-26T00:00:00"/>
    <x v="1"/>
    <x v="0"/>
    <x v="0"/>
    <x v="0"/>
    <x v="17"/>
    <x v="0"/>
    <x v="7"/>
    <x v="1"/>
  </r>
  <r>
    <x v="1382"/>
    <x v="6"/>
    <x v="20"/>
    <n v="41.6"/>
    <n v="624"/>
    <x v="51"/>
    <d v="2025-02-23T00:00:00"/>
    <x v="1"/>
    <x v="1"/>
    <x v="0"/>
    <x v="0"/>
    <x v="26"/>
    <x v="1"/>
    <x v="7"/>
    <x v="1"/>
  </r>
  <r>
    <x v="1383"/>
    <x v="8"/>
    <x v="1"/>
    <n v="19.2"/>
    <n v="38.4"/>
    <x v="51"/>
    <d v="2025-02-24T00:00:00"/>
    <x v="1"/>
    <x v="4"/>
    <x v="2"/>
    <x v="0"/>
    <x v="9"/>
    <x v="2"/>
    <x v="7"/>
    <x v="1"/>
  </r>
  <r>
    <x v="1384"/>
    <x v="17"/>
    <x v="3"/>
    <n v="41.8"/>
    <n v="292.59999999999997"/>
    <x v="51"/>
    <d v="2025-02-23T00:00:00"/>
    <x v="2"/>
    <x v="2"/>
    <x v="0"/>
    <x v="0"/>
    <x v="11"/>
    <x v="1"/>
    <x v="7"/>
    <x v="2"/>
  </r>
  <r>
    <x v="1385"/>
    <x v="8"/>
    <x v="13"/>
    <n v="37.4"/>
    <n v="224.39999999999998"/>
    <x v="51"/>
    <d v="2025-02-23T00:00:00"/>
    <x v="1"/>
    <x v="0"/>
    <x v="2"/>
    <x v="0"/>
    <x v="11"/>
    <x v="1"/>
    <x v="7"/>
    <x v="1"/>
  </r>
  <r>
    <x v="1386"/>
    <x v="10"/>
    <x v="2"/>
    <n v="60.2"/>
    <n v="180.60000000000002"/>
    <x v="51"/>
    <d v="2025-02-24T00:00:00"/>
    <x v="1"/>
    <x v="4"/>
    <x v="1"/>
    <x v="0"/>
    <x v="38"/>
    <x v="2"/>
    <x v="7"/>
    <x v="1"/>
  </r>
  <r>
    <x v="1387"/>
    <x v="9"/>
    <x v="1"/>
    <n v="91.5"/>
    <n v="183"/>
    <x v="52"/>
    <d v="2025-02-23T00:00:00"/>
    <x v="1"/>
    <x v="0"/>
    <x v="0"/>
    <x v="0"/>
    <x v="13"/>
    <x v="3"/>
    <x v="7"/>
    <x v="1"/>
  </r>
  <r>
    <x v="1388"/>
    <x v="3"/>
    <x v="9"/>
    <n v="55.7"/>
    <n v="278.5"/>
    <x v="52"/>
    <d v="2025-02-24T00:00:00"/>
    <x v="0"/>
    <x v="1"/>
    <x v="2"/>
    <x v="0"/>
    <x v="21"/>
    <x v="1"/>
    <x v="7"/>
    <x v="0"/>
  </r>
  <r>
    <x v="1389"/>
    <x v="7"/>
    <x v="1"/>
    <n v="76.7"/>
    <n v="153.4"/>
    <x v="52"/>
    <d v="2025-02-24T00:00:00"/>
    <x v="1"/>
    <x v="0"/>
    <x v="1"/>
    <x v="0"/>
    <x v="21"/>
    <x v="1"/>
    <x v="7"/>
    <x v="1"/>
  </r>
  <r>
    <x v="1390"/>
    <x v="8"/>
    <x v="38"/>
    <n v="28.2"/>
    <n v="592.19999999999993"/>
    <x v="52"/>
    <d v="2025-02-27T00:00:00"/>
    <x v="1"/>
    <x v="2"/>
    <x v="0"/>
    <x v="0"/>
    <x v="1"/>
    <x v="0"/>
    <x v="7"/>
    <x v="1"/>
  </r>
  <r>
    <x v="1391"/>
    <x v="7"/>
    <x v="9"/>
    <n v="93.2"/>
    <n v="466"/>
    <x v="52"/>
    <d v="2025-02-24T00:00:00"/>
    <x v="2"/>
    <x v="4"/>
    <x v="2"/>
    <x v="0"/>
    <x v="1"/>
    <x v="1"/>
    <x v="7"/>
    <x v="2"/>
  </r>
  <r>
    <x v="1392"/>
    <x v="17"/>
    <x v="0"/>
    <n v="33.299999999999997"/>
    <n v="33.299999999999997"/>
    <x v="52"/>
    <d v="2025-02-23T00:00:00"/>
    <x v="1"/>
    <x v="4"/>
    <x v="0"/>
    <x v="0"/>
    <x v="2"/>
    <x v="3"/>
    <x v="7"/>
    <x v="1"/>
  </r>
  <r>
    <x v="1393"/>
    <x v="10"/>
    <x v="1"/>
    <n v="39.1"/>
    <n v="78.2"/>
    <x v="52"/>
    <d v="2025-02-25T00:00:00"/>
    <x v="1"/>
    <x v="0"/>
    <x v="0"/>
    <x v="0"/>
    <x v="44"/>
    <x v="2"/>
    <x v="7"/>
    <x v="1"/>
  </r>
  <r>
    <x v="1394"/>
    <x v="7"/>
    <x v="4"/>
    <n v="45.3"/>
    <n v="543.59999999999991"/>
    <x v="52"/>
    <d v="2025-02-23T00:00:00"/>
    <x v="1"/>
    <x v="2"/>
    <x v="0"/>
    <x v="0"/>
    <x v="33"/>
    <x v="3"/>
    <x v="7"/>
    <x v="1"/>
  </r>
  <r>
    <x v="1395"/>
    <x v="9"/>
    <x v="3"/>
    <n v="33.9"/>
    <n v="237.29999999999998"/>
    <x v="52"/>
    <d v="2025-02-23T00:00:00"/>
    <x v="1"/>
    <x v="4"/>
    <x v="0"/>
    <x v="0"/>
    <x v="33"/>
    <x v="3"/>
    <x v="7"/>
    <x v="1"/>
  </r>
  <r>
    <x v="1396"/>
    <x v="8"/>
    <x v="2"/>
    <n v="19"/>
    <n v="57"/>
    <x v="52"/>
    <d v="2025-02-23T00:00:00"/>
    <x v="1"/>
    <x v="0"/>
    <x v="2"/>
    <x v="0"/>
    <x v="15"/>
    <x v="3"/>
    <x v="7"/>
    <x v="1"/>
  </r>
  <r>
    <x v="1397"/>
    <x v="4"/>
    <x v="0"/>
    <n v="41.9"/>
    <n v="41.9"/>
    <x v="52"/>
    <d v="2025-02-25T00:00:00"/>
    <x v="2"/>
    <x v="2"/>
    <x v="0"/>
    <x v="0"/>
    <x v="22"/>
    <x v="2"/>
    <x v="7"/>
    <x v="2"/>
  </r>
  <r>
    <x v="1398"/>
    <x v="1"/>
    <x v="12"/>
    <n v="37.5"/>
    <n v="150"/>
    <x v="52"/>
    <d v="2025-02-22T00:00:00"/>
    <x v="2"/>
    <x v="0"/>
    <x v="0"/>
    <x v="0"/>
    <x v="3"/>
    <x v="7"/>
    <x v="7"/>
    <x v="2"/>
  </r>
  <r>
    <x v="1399"/>
    <x v="0"/>
    <x v="1"/>
    <n v="40.799999999999997"/>
    <n v="81.599999999999994"/>
    <x v="52"/>
    <d v="2025-02-25T00:00:00"/>
    <x v="1"/>
    <x v="0"/>
    <x v="0"/>
    <x v="0"/>
    <x v="3"/>
    <x v="2"/>
    <x v="7"/>
    <x v="1"/>
  </r>
  <r>
    <x v="1400"/>
    <x v="0"/>
    <x v="12"/>
    <n v="23.1"/>
    <n v="92.4"/>
    <x v="52"/>
    <d v="2025-02-23T00:00:00"/>
    <x v="2"/>
    <x v="4"/>
    <x v="0"/>
    <x v="0"/>
    <x v="3"/>
    <x v="3"/>
    <x v="7"/>
    <x v="2"/>
  </r>
  <r>
    <x v="1401"/>
    <x v="8"/>
    <x v="9"/>
    <n v="39.299999999999997"/>
    <n v="196.5"/>
    <x v="52"/>
    <d v="2025-02-23T00:00:00"/>
    <x v="2"/>
    <x v="0"/>
    <x v="0"/>
    <x v="0"/>
    <x v="3"/>
    <x v="3"/>
    <x v="7"/>
    <x v="2"/>
  </r>
  <r>
    <x v="1402"/>
    <x v="2"/>
    <x v="12"/>
    <n v="85.2"/>
    <n v="340.8"/>
    <x v="52"/>
    <d v="2025-02-27T00:00:00"/>
    <x v="1"/>
    <x v="2"/>
    <x v="0"/>
    <x v="0"/>
    <x v="3"/>
    <x v="0"/>
    <x v="7"/>
    <x v="1"/>
  </r>
  <r>
    <x v="1403"/>
    <x v="8"/>
    <x v="13"/>
    <n v="16"/>
    <n v="96"/>
    <x v="52"/>
    <d v="2025-02-25T00:00:00"/>
    <x v="1"/>
    <x v="1"/>
    <x v="0"/>
    <x v="0"/>
    <x v="3"/>
    <x v="2"/>
    <x v="7"/>
    <x v="1"/>
  </r>
  <r>
    <x v="1404"/>
    <x v="1"/>
    <x v="1"/>
    <n v="33.799999999999997"/>
    <n v="67.599999999999994"/>
    <x v="52"/>
    <d v="2025-02-26T00:00:00"/>
    <x v="2"/>
    <x v="1"/>
    <x v="0"/>
    <x v="0"/>
    <x v="3"/>
    <x v="5"/>
    <x v="7"/>
    <x v="2"/>
  </r>
  <r>
    <x v="1405"/>
    <x v="3"/>
    <x v="0"/>
    <n v="70"/>
    <n v="70"/>
    <x v="52"/>
    <d v="2025-02-23T00:00:00"/>
    <x v="2"/>
    <x v="0"/>
    <x v="0"/>
    <x v="0"/>
    <x v="3"/>
    <x v="3"/>
    <x v="7"/>
    <x v="2"/>
  </r>
  <r>
    <x v="1406"/>
    <x v="9"/>
    <x v="0"/>
    <n v="88"/>
    <n v="88"/>
    <x v="52"/>
    <d v="2025-02-27T00:00:00"/>
    <x v="2"/>
    <x v="3"/>
    <x v="0"/>
    <x v="0"/>
    <x v="3"/>
    <x v="0"/>
    <x v="7"/>
    <x v="2"/>
  </r>
  <r>
    <x v="1407"/>
    <x v="2"/>
    <x v="2"/>
    <n v="74.099999999999994"/>
    <n v="222.29999999999998"/>
    <x v="52"/>
    <d v="2025-02-22T00:00:00"/>
    <x v="1"/>
    <x v="4"/>
    <x v="1"/>
    <x v="0"/>
    <x v="3"/>
    <x v="7"/>
    <x v="7"/>
    <x v="1"/>
  </r>
  <r>
    <x v="1408"/>
    <x v="2"/>
    <x v="0"/>
    <n v="161.9"/>
    <n v="161.9"/>
    <x v="52"/>
    <d v="2025-02-24T00:00:00"/>
    <x v="1"/>
    <x v="2"/>
    <x v="0"/>
    <x v="0"/>
    <x v="3"/>
    <x v="1"/>
    <x v="7"/>
    <x v="1"/>
  </r>
  <r>
    <x v="1409"/>
    <x v="4"/>
    <x v="1"/>
    <n v="44"/>
    <n v="88"/>
    <x v="52"/>
    <d v="2025-02-23T00:00:00"/>
    <x v="3"/>
    <x v="4"/>
    <x v="1"/>
    <x v="0"/>
    <x v="3"/>
    <x v="3"/>
    <x v="7"/>
    <x v="3"/>
  </r>
  <r>
    <x v="1410"/>
    <x v="11"/>
    <x v="0"/>
    <n v="32.1"/>
    <n v="32.1"/>
    <x v="52"/>
    <d v="2025-02-22T00:00:00"/>
    <x v="2"/>
    <x v="3"/>
    <x v="3"/>
    <x v="0"/>
    <x v="3"/>
    <x v="7"/>
    <x v="7"/>
    <x v="2"/>
  </r>
  <r>
    <x v="1411"/>
    <x v="2"/>
    <x v="12"/>
    <n v="104.8"/>
    <n v="419.2"/>
    <x v="53"/>
    <d v="2025-02-25T00:00:00"/>
    <x v="3"/>
    <x v="0"/>
    <x v="0"/>
    <x v="0"/>
    <x v="3"/>
    <x v="1"/>
    <x v="8"/>
    <x v="3"/>
  </r>
  <r>
    <x v="1412"/>
    <x v="9"/>
    <x v="13"/>
    <n v="67.400000000000006"/>
    <n v="404.40000000000003"/>
    <x v="53"/>
    <d v="2025-02-24T00:00:00"/>
    <x v="2"/>
    <x v="3"/>
    <x v="0"/>
    <x v="0"/>
    <x v="3"/>
    <x v="3"/>
    <x v="8"/>
    <x v="2"/>
  </r>
  <r>
    <x v="1413"/>
    <x v="6"/>
    <x v="1"/>
    <n v="115.2"/>
    <n v="230.4"/>
    <x v="53"/>
    <d v="2025-02-24T00:00:00"/>
    <x v="2"/>
    <x v="1"/>
    <x v="0"/>
    <x v="0"/>
    <x v="4"/>
    <x v="3"/>
    <x v="8"/>
    <x v="2"/>
  </r>
  <r>
    <x v="1414"/>
    <x v="8"/>
    <x v="19"/>
    <n v="15.5"/>
    <n v="449.5"/>
    <x v="53"/>
    <d v="2025-02-25T00:00:00"/>
    <x v="2"/>
    <x v="0"/>
    <x v="1"/>
    <x v="0"/>
    <x v="23"/>
    <x v="1"/>
    <x v="8"/>
    <x v="2"/>
  </r>
  <r>
    <x v="1415"/>
    <x v="6"/>
    <x v="5"/>
    <n v="66.400000000000006"/>
    <n v="730.40000000000009"/>
    <x v="53"/>
    <d v="2025-02-25T00:00:00"/>
    <x v="2"/>
    <x v="0"/>
    <x v="0"/>
    <x v="0"/>
    <x v="6"/>
    <x v="1"/>
    <x v="8"/>
    <x v="2"/>
  </r>
  <r>
    <x v="1416"/>
    <x v="9"/>
    <x v="4"/>
    <n v="68.099999999999994"/>
    <n v="817.19999999999993"/>
    <x v="53"/>
    <d v="2025-02-24T00:00:00"/>
    <x v="2"/>
    <x v="2"/>
    <x v="0"/>
    <x v="0"/>
    <x v="8"/>
    <x v="3"/>
    <x v="8"/>
    <x v="2"/>
  </r>
  <r>
    <x v="1417"/>
    <x v="8"/>
    <x v="9"/>
    <n v="32.5"/>
    <n v="162.5"/>
    <x v="53"/>
    <d v="2025-02-27T00:00:00"/>
    <x v="1"/>
    <x v="2"/>
    <x v="1"/>
    <x v="0"/>
    <x v="8"/>
    <x v="5"/>
    <x v="8"/>
    <x v="1"/>
  </r>
  <r>
    <x v="1418"/>
    <x v="15"/>
    <x v="2"/>
    <n v="61.2"/>
    <n v="183.60000000000002"/>
    <x v="53"/>
    <d v="2025-02-25T00:00:00"/>
    <x v="2"/>
    <x v="1"/>
    <x v="1"/>
    <x v="0"/>
    <x v="8"/>
    <x v="1"/>
    <x v="8"/>
    <x v="2"/>
  </r>
  <r>
    <x v="1419"/>
    <x v="9"/>
    <x v="1"/>
    <n v="54.2"/>
    <n v="108.4"/>
    <x v="53"/>
    <d v="2025-02-24T00:00:00"/>
    <x v="2"/>
    <x v="1"/>
    <x v="0"/>
    <x v="0"/>
    <x v="8"/>
    <x v="3"/>
    <x v="8"/>
    <x v="2"/>
  </r>
  <r>
    <x v="1420"/>
    <x v="11"/>
    <x v="8"/>
    <n v="28.7"/>
    <n v="229.6"/>
    <x v="53"/>
    <d v="2025-02-25T00:00:00"/>
    <x v="1"/>
    <x v="1"/>
    <x v="0"/>
    <x v="0"/>
    <x v="9"/>
    <x v="1"/>
    <x v="8"/>
    <x v="1"/>
  </r>
  <r>
    <x v="1421"/>
    <x v="12"/>
    <x v="13"/>
    <n v="38.200000000000003"/>
    <n v="229.20000000000002"/>
    <x v="53"/>
    <d v="2025-02-27T00:00:00"/>
    <x v="2"/>
    <x v="0"/>
    <x v="1"/>
    <x v="0"/>
    <x v="9"/>
    <x v="5"/>
    <x v="8"/>
    <x v="2"/>
  </r>
  <r>
    <x v="1422"/>
    <x v="8"/>
    <x v="4"/>
    <n v="17.600000000000001"/>
    <n v="211.20000000000002"/>
    <x v="53"/>
    <d v="2025-02-24T00:00:00"/>
    <x v="2"/>
    <x v="2"/>
    <x v="1"/>
    <x v="0"/>
    <x v="9"/>
    <x v="3"/>
    <x v="8"/>
    <x v="2"/>
  </r>
  <r>
    <x v="1423"/>
    <x v="10"/>
    <x v="2"/>
    <n v="74.599999999999994"/>
    <n v="223.79999999999998"/>
    <x v="53"/>
    <d v="2025-02-23T00:00:00"/>
    <x v="2"/>
    <x v="2"/>
    <x v="0"/>
    <x v="0"/>
    <x v="11"/>
    <x v="7"/>
    <x v="8"/>
    <x v="2"/>
  </r>
  <r>
    <x v="1424"/>
    <x v="16"/>
    <x v="20"/>
    <n v="72.599999999999994"/>
    <n v="1089"/>
    <x v="53"/>
    <d v="2025-02-23T00:00:00"/>
    <x v="0"/>
    <x v="1"/>
    <x v="1"/>
    <x v="0"/>
    <x v="11"/>
    <x v="7"/>
    <x v="8"/>
    <x v="0"/>
  </r>
  <r>
    <x v="1425"/>
    <x v="7"/>
    <x v="0"/>
    <n v="62.3"/>
    <n v="62.3"/>
    <x v="53"/>
    <d v="2025-02-24T00:00:00"/>
    <x v="2"/>
    <x v="1"/>
    <x v="0"/>
    <x v="0"/>
    <x v="11"/>
    <x v="3"/>
    <x v="8"/>
    <x v="2"/>
  </r>
  <r>
    <x v="1426"/>
    <x v="3"/>
    <x v="2"/>
    <n v="33.799999999999997"/>
    <n v="101.39999999999999"/>
    <x v="53"/>
    <d v="2025-02-25T00:00:00"/>
    <x v="1"/>
    <x v="0"/>
    <x v="2"/>
    <x v="0"/>
    <x v="20"/>
    <x v="1"/>
    <x v="8"/>
    <x v="1"/>
  </r>
  <r>
    <x v="1427"/>
    <x v="9"/>
    <x v="0"/>
    <n v="85.7"/>
    <n v="85.7"/>
    <x v="53"/>
    <d v="2025-02-26T00:00:00"/>
    <x v="1"/>
    <x v="3"/>
    <x v="1"/>
    <x v="0"/>
    <x v="21"/>
    <x v="2"/>
    <x v="8"/>
    <x v="1"/>
  </r>
  <r>
    <x v="1428"/>
    <x v="6"/>
    <x v="1"/>
    <n v="92.1"/>
    <n v="184.2"/>
    <x v="53"/>
    <d v="2025-02-25T00:00:00"/>
    <x v="1"/>
    <x v="1"/>
    <x v="0"/>
    <x v="0"/>
    <x v="21"/>
    <x v="1"/>
    <x v="8"/>
    <x v="1"/>
  </r>
  <r>
    <x v="1429"/>
    <x v="16"/>
    <x v="2"/>
    <n v="65.099999999999994"/>
    <n v="195.29999999999998"/>
    <x v="53"/>
    <d v="2025-02-26T00:00:00"/>
    <x v="1"/>
    <x v="0"/>
    <x v="0"/>
    <x v="0"/>
    <x v="1"/>
    <x v="2"/>
    <x v="8"/>
    <x v="1"/>
  </r>
  <r>
    <x v="1430"/>
    <x v="9"/>
    <x v="3"/>
    <n v="20.3"/>
    <n v="142.1"/>
    <x v="53"/>
    <d v="2025-02-24T00:00:00"/>
    <x v="2"/>
    <x v="2"/>
    <x v="2"/>
    <x v="0"/>
    <x v="2"/>
    <x v="3"/>
    <x v="8"/>
    <x v="2"/>
  </r>
  <r>
    <x v="1431"/>
    <x v="19"/>
    <x v="1"/>
    <n v="29.8"/>
    <n v="59.6"/>
    <x v="53"/>
    <d v="2025-02-25T00:00:00"/>
    <x v="2"/>
    <x v="1"/>
    <x v="2"/>
    <x v="0"/>
    <x v="34"/>
    <x v="1"/>
    <x v="8"/>
    <x v="2"/>
  </r>
  <r>
    <x v="1432"/>
    <x v="0"/>
    <x v="1"/>
    <n v="24.2"/>
    <n v="48.4"/>
    <x v="53"/>
    <d v="2025-02-25T00:00:00"/>
    <x v="2"/>
    <x v="3"/>
    <x v="2"/>
    <x v="0"/>
    <x v="3"/>
    <x v="1"/>
    <x v="8"/>
    <x v="2"/>
  </r>
  <r>
    <x v="1433"/>
    <x v="3"/>
    <x v="0"/>
    <n v="57.3"/>
    <n v="57.3"/>
    <x v="53"/>
    <d v="2025-02-25T00:00:00"/>
    <x v="1"/>
    <x v="0"/>
    <x v="0"/>
    <x v="0"/>
    <x v="3"/>
    <x v="1"/>
    <x v="8"/>
    <x v="1"/>
  </r>
  <r>
    <x v="1434"/>
    <x v="2"/>
    <x v="0"/>
    <n v="108.9"/>
    <n v="108.9"/>
    <x v="53"/>
    <d v="2025-02-25T00:00:00"/>
    <x v="2"/>
    <x v="1"/>
    <x v="0"/>
    <x v="0"/>
    <x v="3"/>
    <x v="1"/>
    <x v="8"/>
    <x v="2"/>
  </r>
  <r>
    <x v="1435"/>
    <x v="7"/>
    <x v="9"/>
    <n v="50.7"/>
    <n v="253.5"/>
    <x v="53"/>
    <d v="2025-02-24T00:00:00"/>
    <x v="2"/>
    <x v="0"/>
    <x v="0"/>
    <x v="0"/>
    <x v="3"/>
    <x v="3"/>
    <x v="8"/>
    <x v="2"/>
  </r>
  <r>
    <x v="1436"/>
    <x v="7"/>
    <x v="11"/>
    <n v="66.099999999999994"/>
    <n v="594.9"/>
    <x v="53"/>
    <d v="2025-03-09T00:00:00"/>
    <x v="2"/>
    <x v="1"/>
    <x v="0"/>
    <x v="0"/>
    <x v="3"/>
    <x v="12"/>
    <x v="8"/>
    <x v="2"/>
  </r>
  <r>
    <x v="1437"/>
    <x v="12"/>
    <x v="9"/>
    <n v="36.700000000000003"/>
    <n v="183.5"/>
    <x v="53"/>
    <d v="2025-02-27T00:00:00"/>
    <x v="2"/>
    <x v="4"/>
    <x v="0"/>
    <x v="0"/>
    <x v="3"/>
    <x v="5"/>
    <x v="8"/>
    <x v="2"/>
  </r>
  <r>
    <x v="1438"/>
    <x v="8"/>
    <x v="14"/>
    <n v="19.3"/>
    <n v="328.1"/>
    <x v="53"/>
    <d v="2025-02-25T00:00:00"/>
    <x v="1"/>
    <x v="0"/>
    <x v="0"/>
    <x v="0"/>
    <x v="43"/>
    <x v="1"/>
    <x v="8"/>
    <x v="1"/>
  </r>
  <r>
    <x v="1439"/>
    <x v="8"/>
    <x v="12"/>
    <n v="20.7"/>
    <n v="82.8"/>
    <x v="53"/>
    <d v="2025-02-24T00:00:00"/>
    <x v="1"/>
    <x v="1"/>
    <x v="2"/>
    <x v="0"/>
    <x v="6"/>
    <x v="3"/>
    <x v="8"/>
    <x v="1"/>
  </r>
  <r>
    <x v="1440"/>
    <x v="5"/>
    <x v="2"/>
    <n v="54.7"/>
    <n v="164.10000000000002"/>
    <x v="53"/>
    <d v="2025-02-23T00:00:00"/>
    <x v="3"/>
    <x v="1"/>
    <x v="4"/>
    <x v="0"/>
    <x v="6"/>
    <x v="7"/>
    <x v="8"/>
    <x v="3"/>
  </r>
  <r>
    <x v="1441"/>
    <x v="4"/>
    <x v="1"/>
    <n v="19.8"/>
    <n v="39.6"/>
    <x v="53"/>
    <d v="2025-02-27T00:00:00"/>
    <x v="2"/>
    <x v="4"/>
    <x v="1"/>
    <x v="0"/>
    <x v="8"/>
    <x v="5"/>
    <x v="8"/>
    <x v="2"/>
  </r>
  <r>
    <x v="1442"/>
    <x v="7"/>
    <x v="0"/>
    <n v="41.1"/>
    <n v="41.1"/>
    <x v="53"/>
    <d v="2025-02-25T00:00:00"/>
    <x v="2"/>
    <x v="0"/>
    <x v="2"/>
    <x v="0"/>
    <x v="8"/>
    <x v="1"/>
    <x v="8"/>
    <x v="2"/>
  </r>
  <r>
    <x v="1443"/>
    <x v="11"/>
    <x v="8"/>
    <n v="43.5"/>
    <n v="348"/>
    <x v="53"/>
    <d v="2025-02-27T00:00:00"/>
    <x v="2"/>
    <x v="3"/>
    <x v="0"/>
    <x v="0"/>
    <x v="8"/>
    <x v="5"/>
    <x v="8"/>
    <x v="2"/>
  </r>
  <r>
    <x v="1444"/>
    <x v="8"/>
    <x v="21"/>
    <n v="19"/>
    <n v="266"/>
    <x v="53"/>
    <d v="2025-02-24T00:00:00"/>
    <x v="1"/>
    <x v="0"/>
    <x v="0"/>
    <x v="0"/>
    <x v="26"/>
    <x v="3"/>
    <x v="8"/>
    <x v="1"/>
  </r>
  <r>
    <x v="1445"/>
    <x v="2"/>
    <x v="12"/>
    <n v="51.4"/>
    <n v="205.6"/>
    <x v="53"/>
    <d v="2025-02-23T00:00:00"/>
    <x v="2"/>
    <x v="0"/>
    <x v="0"/>
    <x v="0"/>
    <x v="26"/>
    <x v="7"/>
    <x v="8"/>
    <x v="2"/>
  </r>
  <r>
    <x v="1446"/>
    <x v="10"/>
    <x v="1"/>
    <n v="39.799999999999997"/>
    <n v="79.599999999999994"/>
    <x v="53"/>
    <d v="2025-02-26T00:00:00"/>
    <x v="1"/>
    <x v="3"/>
    <x v="1"/>
    <x v="0"/>
    <x v="13"/>
    <x v="2"/>
    <x v="8"/>
    <x v="1"/>
  </r>
  <r>
    <x v="1447"/>
    <x v="6"/>
    <x v="9"/>
    <n v="61"/>
    <n v="305"/>
    <x v="53"/>
    <d v="2025-02-24T00:00:00"/>
    <x v="0"/>
    <x v="0"/>
    <x v="2"/>
    <x v="0"/>
    <x v="21"/>
    <x v="3"/>
    <x v="8"/>
    <x v="0"/>
  </r>
  <r>
    <x v="1448"/>
    <x v="8"/>
    <x v="5"/>
    <n v="15.1"/>
    <n v="166.1"/>
    <x v="54"/>
    <d v="2025-03-01T00:00:00"/>
    <x v="1"/>
    <x v="3"/>
    <x v="2"/>
    <x v="0"/>
    <x v="2"/>
    <x v="0"/>
    <x v="8"/>
    <x v="1"/>
  </r>
  <r>
    <x v="1449"/>
    <x v="1"/>
    <x v="3"/>
    <n v="71.3"/>
    <n v="499.09999999999997"/>
    <x v="54"/>
    <d v="2025-02-25T00:00:00"/>
    <x v="1"/>
    <x v="4"/>
    <x v="0"/>
    <x v="0"/>
    <x v="3"/>
    <x v="3"/>
    <x v="8"/>
    <x v="1"/>
  </r>
  <r>
    <x v="1450"/>
    <x v="10"/>
    <x v="0"/>
    <n v="25.8"/>
    <n v="25.8"/>
    <x v="54"/>
    <d v="2025-02-26T00:00:00"/>
    <x v="2"/>
    <x v="0"/>
    <x v="2"/>
    <x v="0"/>
    <x v="3"/>
    <x v="1"/>
    <x v="8"/>
    <x v="2"/>
  </r>
  <r>
    <x v="1451"/>
    <x v="8"/>
    <x v="9"/>
    <n v="39.6"/>
    <n v="198"/>
    <x v="54"/>
    <d v="2025-02-26T00:00:00"/>
    <x v="1"/>
    <x v="1"/>
    <x v="2"/>
    <x v="0"/>
    <x v="3"/>
    <x v="1"/>
    <x v="8"/>
    <x v="1"/>
  </r>
  <r>
    <x v="1452"/>
    <x v="5"/>
    <x v="1"/>
    <n v="64"/>
    <n v="128"/>
    <x v="54"/>
    <d v="2025-02-24T00:00:00"/>
    <x v="1"/>
    <x v="1"/>
    <x v="1"/>
    <x v="0"/>
    <x v="3"/>
    <x v="7"/>
    <x v="8"/>
    <x v="1"/>
  </r>
  <r>
    <x v="1453"/>
    <x v="8"/>
    <x v="1"/>
    <n v="30.6"/>
    <n v="61.2"/>
    <x v="54"/>
    <d v="2025-02-27T00:00:00"/>
    <x v="1"/>
    <x v="0"/>
    <x v="2"/>
    <x v="0"/>
    <x v="3"/>
    <x v="2"/>
    <x v="8"/>
    <x v="1"/>
  </r>
  <r>
    <x v="1454"/>
    <x v="8"/>
    <x v="1"/>
    <n v="21.3"/>
    <n v="42.6"/>
    <x v="54"/>
    <d v="2025-02-25T00:00:00"/>
    <x v="1"/>
    <x v="0"/>
    <x v="1"/>
    <x v="0"/>
    <x v="3"/>
    <x v="3"/>
    <x v="8"/>
    <x v="1"/>
  </r>
  <r>
    <x v="1455"/>
    <x v="7"/>
    <x v="0"/>
    <n v="40.799999999999997"/>
    <n v="40.799999999999997"/>
    <x v="54"/>
    <d v="2025-02-26T00:00:00"/>
    <x v="2"/>
    <x v="4"/>
    <x v="0"/>
    <x v="0"/>
    <x v="3"/>
    <x v="1"/>
    <x v="8"/>
    <x v="2"/>
  </r>
  <r>
    <x v="1456"/>
    <x v="9"/>
    <x v="12"/>
    <n v="27.7"/>
    <n v="110.8"/>
    <x v="54"/>
    <d v="2025-02-25T00:00:00"/>
    <x v="2"/>
    <x v="0"/>
    <x v="1"/>
    <x v="0"/>
    <x v="3"/>
    <x v="3"/>
    <x v="8"/>
    <x v="2"/>
  </r>
  <r>
    <x v="1457"/>
    <x v="6"/>
    <x v="1"/>
    <n v="64.599999999999994"/>
    <n v="129.19999999999999"/>
    <x v="54"/>
    <d v="2025-02-25T00:00:00"/>
    <x v="1"/>
    <x v="0"/>
    <x v="1"/>
    <x v="0"/>
    <x v="3"/>
    <x v="3"/>
    <x v="8"/>
    <x v="1"/>
  </r>
  <r>
    <x v="1458"/>
    <x v="6"/>
    <x v="27"/>
    <n v="91.1"/>
    <n v="1457.6"/>
    <x v="54"/>
    <d v="2025-02-25T00:00:00"/>
    <x v="2"/>
    <x v="1"/>
    <x v="2"/>
    <x v="0"/>
    <x v="3"/>
    <x v="3"/>
    <x v="8"/>
    <x v="2"/>
  </r>
  <r>
    <x v="1459"/>
    <x v="1"/>
    <x v="0"/>
    <n v="39.5"/>
    <n v="39.5"/>
    <x v="54"/>
    <d v="2025-03-04T00:00:00"/>
    <x v="2"/>
    <x v="0"/>
    <x v="0"/>
    <x v="0"/>
    <x v="3"/>
    <x v="9"/>
    <x v="8"/>
    <x v="2"/>
  </r>
  <r>
    <x v="1460"/>
    <x v="9"/>
    <x v="1"/>
    <n v="21.8"/>
    <n v="43.6"/>
    <x v="54"/>
    <d v="2025-02-28T00:00:00"/>
    <x v="1"/>
    <x v="4"/>
    <x v="2"/>
    <x v="0"/>
    <x v="3"/>
    <x v="5"/>
    <x v="8"/>
    <x v="1"/>
  </r>
  <r>
    <x v="1461"/>
    <x v="8"/>
    <x v="1"/>
    <n v="51"/>
    <n v="102"/>
    <x v="54"/>
    <d v="2025-02-27T00:00:00"/>
    <x v="1"/>
    <x v="3"/>
    <x v="2"/>
    <x v="0"/>
    <x v="3"/>
    <x v="2"/>
    <x v="8"/>
    <x v="1"/>
  </r>
  <r>
    <x v="1462"/>
    <x v="2"/>
    <x v="0"/>
    <n v="92.6"/>
    <n v="92.6"/>
    <x v="54"/>
    <d v="2025-02-27T00:00:00"/>
    <x v="2"/>
    <x v="0"/>
    <x v="2"/>
    <x v="0"/>
    <x v="35"/>
    <x v="2"/>
    <x v="8"/>
    <x v="2"/>
  </r>
  <r>
    <x v="1463"/>
    <x v="9"/>
    <x v="1"/>
    <n v="31.1"/>
    <n v="62.2"/>
    <x v="54"/>
    <d v="2025-03-01T00:00:00"/>
    <x v="0"/>
    <x v="1"/>
    <x v="3"/>
    <x v="0"/>
    <x v="23"/>
    <x v="0"/>
    <x v="8"/>
    <x v="0"/>
  </r>
  <r>
    <x v="1464"/>
    <x v="5"/>
    <x v="2"/>
    <n v="56.4"/>
    <n v="169.2"/>
    <x v="54"/>
    <d v="2025-02-25T00:00:00"/>
    <x v="0"/>
    <x v="1"/>
    <x v="0"/>
    <x v="0"/>
    <x v="6"/>
    <x v="3"/>
    <x v="8"/>
    <x v="0"/>
  </r>
  <r>
    <x v="1465"/>
    <x v="9"/>
    <x v="0"/>
    <n v="41.9"/>
    <n v="41.9"/>
    <x v="54"/>
    <d v="2025-02-24T00:00:00"/>
    <x v="1"/>
    <x v="1"/>
    <x v="0"/>
    <x v="0"/>
    <x v="6"/>
    <x v="7"/>
    <x v="8"/>
    <x v="1"/>
  </r>
  <r>
    <x v="1466"/>
    <x v="10"/>
    <x v="3"/>
    <n v="45.9"/>
    <n v="321.3"/>
    <x v="54"/>
    <d v="2025-02-25T00:00:00"/>
    <x v="1"/>
    <x v="3"/>
    <x v="2"/>
    <x v="0"/>
    <x v="8"/>
    <x v="3"/>
    <x v="8"/>
    <x v="1"/>
  </r>
  <r>
    <x v="1467"/>
    <x v="14"/>
    <x v="11"/>
    <n v="24.4"/>
    <n v="219.6"/>
    <x v="54"/>
    <d v="2025-02-28T00:00:00"/>
    <x v="1"/>
    <x v="3"/>
    <x v="2"/>
    <x v="0"/>
    <x v="8"/>
    <x v="5"/>
    <x v="8"/>
    <x v="1"/>
  </r>
  <r>
    <x v="1468"/>
    <x v="8"/>
    <x v="0"/>
    <n v="18.2"/>
    <n v="18.2"/>
    <x v="54"/>
    <d v="2025-02-25T00:00:00"/>
    <x v="2"/>
    <x v="2"/>
    <x v="2"/>
    <x v="0"/>
    <x v="8"/>
    <x v="3"/>
    <x v="8"/>
    <x v="2"/>
  </r>
  <r>
    <x v="1469"/>
    <x v="8"/>
    <x v="12"/>
    <n v="51.2"/>
    <n v="204.8"/>
    <x v="54"/>
    <d v="2025-02-25T00:00:00"/>
    <x v="2"/>
    <x v="0"/>
    <x v="0"/>
    <x v="0"/>
    <x v="8"/>
    <x v="3"/>
    <x v="8"/>
    <x v="2"/>
  </r>
  <r>
    <x v="1470"/>
    <x v="6"/>
    <x v="0"/>
    <n v="59.7"/>
    <n v="59.7"/>
    <x v="54"/>
    <d v="2025-02-27T00:00:00"/>
    <x v="1"/>
    <x v="0"/>
    <x v="2"/>
    <x v="0"/>
    <x v="8"/>
    <x v="2"/>
    <x v="8"/>
    <x v="1"/>
  </r>
  <r>
    <x v="1471"/>
    <x v="4"/>
    <x v="1"/>
    <n v="33.6"/>
    <n v="67.2"/>
    <x v="54"/>
    <d v="2025-02-26T00:00:00"/>
    <x v="2"/>
    <x v="0"/>
    <x v="0"/>
    <x v="0"/>
    <x v="17"/>
    <x v="1"/>
    <x v="8"/>
    <x v="2"/>
  </r>
  <r>
    <x v="1472"/>
    <x v="12"/>
    <x v="0"/>
    <n v="90.4"/>
    <n v="90.4"/>
    <x v="54"/>
    <d v="2025-02-28T00:00:00"/>
    <x v="1"/>
    <x v="1"/>
    <x v="2"/>
    <x v="0"/>
    <x v="10"/>
    <x v="5"/>
    <x v="8"/>
    <x v="1"/>
  </r>
  <r>
    <x v="1473"/>
    <x v="11"/>
    <x v="2"/>
    <n v="70.3"/>
    <n v="210.89999999999998"/>
    <x v="54"/>
    <d v="2025-02-24T00:00:00"/>
    <x v="1"/>
    <x v="1"/>
    <x v="2"/>
    <x v="0"/>
    <x v="11"/>
    <x v="7"/>
    <x v="8"/>
    <x v="1"/>
  </r>
  <r>
    <x v="1474"/>
    <x v="4"/>
    <x v="1"/>
    <n v="20.5"/>
    <n v="41"/>
    <x v="54"/>
    <d v="2025-02-27T00:00:00"/>
    <x v="2"/>
    <x v="0"/>
    <x v="1"/>
    <x v="0"/>
    <x v="11"/>
    <x v="2"/>
    <x v="8"/>
    <x v="2"/>
  </r>
  <r>
    <x v="1475"/>
    <x v="5"/>
    <x v="5"/>
    <n v="37.6"/>
    <n v="413.6"/>
    <x v="54"/>
    <d v="2025-02-25T00:00:00"/>
    <x v="1"/>
    <x v="0"/>
    <x v="0"/>
    <x v="0"/>
    <x v="38"/>
    <x v="3"/>
    <x v="8"/>
    <x v="1"/>
  </r>
  <r>
    <x v="1476"/>
    <x v="5"/>
    <x v="12"/>
    <n v="61.5"/>
    <n v="246"/>
    <x v="54"/>
    <d v="2025-03-03T00:00:00"/>
    <x v="2"/>
    <x v="1"/>
    <x v="4"/>
    <x v="0"/>
    <x v="13"/>
    <x v="6"/>
    <x v="8"/>
    <x v="2"/>
  </r>
  <r>
    <x v="1477"/>
    <x v="9"/>
    <x v="0"/>
    <n v="33.5"/>
    <n v="33.5"/>
    <x v="55"/>
    <d v="2025-03-01T00:00:00"/>
    <x v="1"/>
    <x v="4"/>
    <x v="1"/>
    <x v="0"/>
    <x v="21"/>
    <x v="5"/>
    <x v="8"/>
    <x v="1"/>
  </r>
  <r>
    <x v="1478"/>
    <x v="4"/>
    <x v="2"/>
    <n v="29.3"/>
    <n v="87.9"/>
    <x v="55"/>
    <d v="2025-02-27T00:00:00"/>
    <x v="2"/>
    <x v="1"/>
    <x v="2"/>
    <x v="0"/>
    <x v="1"/>
    <x v="1"/>
    <x v="8"/>
    <x v="2"/>
  </r>
  <r>
    <x v="1479"/>
    <x v="2"/>
    <x v="1"/>
    <n v="125.9"/>
    <n v="251.8"/>
    <x v="55"/>
    <d v="2025-03-02T00:00:00"/>
    <x v="2"/>
    <x v="4"/>
    <x v="1"/>
    <x v="0"/>
    <x v="1"/>
    <x v="0"/>
    <x v="8"/>
    <x v="2"/>
  </r>
  <r>
    <x v="1480"/>
    <x v="5"/>
    <x v="9"/>
    <n v="29.3"/>
    <n v="146.5"/>
    <x v="55"/>
    <d v="2025-02-25T00:00:00"/>
    <x v="1"/>
    <x v="2"/>
    <x v="0"/>
    <x v="0"/>
    <x v="44"/>
    <x v="7"/>
    <x v="8"/>
    <x v="1"/>
  </r>
  <r>
    <x v="1481"/>
    <x v="9"/>
    <x v="0"/>
    <n v="37.799999999999997"/>
    <n v="37.799999999999997"/>
    <x v="55"/>
    <d v="2025-02-28T00:00:00"/>
    <x v="2"/>
    <x v="0"/>
    <x v="2"/>
    <x v="0"/>
    <x v="3"/>
    <x v="2"/>
    <x v="8"/>
    <x v="2"/>
  </r>
  <r>
    <x v="1482"/>
    <x v="0"/>
    <x v="12"/>
    <n v="31.7"/>
    <n v="126.8"/>
    <x v="55"/>
    <d v="2025-02-26T00:00:00"/>
    <x v="1"/>
    <x v="2"/>
    <x v="2"/>
    <x v="0"/>
    <x v="3"/>
    <x v="3"/>
    <x v="8"/>
    <x v="1"/>
  </r>
  <r>
    <x v="1483"/>
    <x v="8"/>
    <x v="9"/>
    <n v="26.3"/>
    <n v="131.5"/>
    <x v="55"/>
    <d v="2025-02-26T00:00:00"/>
    <x v="2"/>
    <x v="3"/>
    <x v="2"/>
    <x v="0"/>
    <x v="3"/>
    <x v="3"/>
    <x v="8"/>
    <x v="2"/>
  </r>
  <r>
    <x v="1484"/>
    <x v="8"/>
    <x v="2"/>
    <n v="23.1"/>
    <n v="69.300000000000011"/>
    <x v="55"/>
    <d v="2025-02-26T00:00:00"/>
    <x v="3"/>
    <x v="2"/>
    <x v="1"/>
    <x v="0"/>
    <x v="3"/>
    <x v="3"/>
    <x v="8"/>
    <x v="3"/>
  </r>
  <r>
    <x v="1485"/>
    <x v="4"/>
    <x v="0"/>
    <n v="22.3"/>
    <n v="22.3"/>
    <x v="55"/>
    <d v="2025-02-27T00:00:00"/>
    <x v="2"/>
    <x v="2"/>
    <x v="0"/>
    <x v="0"/>
    <x v="3"/>
    <x v="1"/>
    <x v="8"/>
    <x v="2"/>
  </r>
  <r>
    <x v="1486"/>
    <x v="12"/>
    <x v="1"/>
    <n v="99.5"/>
    <n v="199"/>
    <x v="55"/>
    <d v="2025-02-27T00:00:00"/>
    <x v="2"/>
    <x v="2"/>
    <x v="0"/>
    <x v="0"/>
    <x v="3"/>
    <x v="1"/>
    <x v="8"/>
    <x v="2"/>
  </r>
  <r>
    <x v="1487"/>
    <x v="12"/>
    <x v="12"/>
    <n v="47.4"/>
    <n v="189.6"/>
    <x v="55"/>
    <d v="2025-02-28T00:00:00"/>
    <x v="2"/>
    <x v="1"/>
    <x v="0"/>
    <x v="0"/>
    <x v="3"/>
    <x v="2"/>
    <x v="8"/>
    <x v="2"/>
  </r>
  <r>
    <x v="1488"/>
    <x v="0"/>
    <x v="5"/>
    <n v="37.5"/>
    <n v="412.5"/>
    <x v="55"/>
    <d v="2025-02-27T00:00:00"/>
    <x v="2"/>
    <x v="0"/>
    <x v="3"/>
    <x v="0"/>
    <x v="3"/>
    <x v="1"/>
    <x v="8"/>
    <x v="2"/>
  </r>
  <r>
    <x v="1489"/>
    <x v="10"/>
    <x v="0"/>
    <n v="45.1"/>
    <n v="45.1"/>
    <x v="55"/>
    <d v="2025-03-02T00:00:00"/>
    <x v="1"/>
    <x v="3"/>
    <x v="2"/>
    <x v="0"/>
    <x v="24"/>
    <x v="0"/>
    <x v="8"/>
    <x v="1"/>
  </r>
  <r>
    <x v="1490"/>
    <x v="5"/>
    <x v="7"/>
    <n v="34.4"/>
    <n v="344"/>
    <x v="55"/>
    <d v="2025-02-28T00:00:00"/>
    <x v="1"/>
    <x v="2"/>
    <x v="0"/>
    <x v="0"/>
    <x v="16"/>
    <x v="2"/>
    <x v="8"/>
    <x v="1"/>
  </r>
  <r>
    <x v="1491"/>
    <x v="4"/>
    <x v="1"/>
    <n v="38"/>
    <n v="76"/>
    <x v="55"/>
    <d v="2025-02-27T00:00:00"/>
    <x v="2"/>
    <x v="1"/>
    <x v="0"/>
    <x v="0"/>
    <x v="5"/>
    <x v="1"/>
    <x v="8"/>
    <x v="2"/>
  </r>
  <r>
    <x v="1492"/>
    <x v="3"/>
    <x v="21"/>
    <n v="32.4"/>
    <n v="453.59999999999997"/>
    <x v="55"/>
    <d v="2025-02-28T00:00:00"/>
    <x v="1"/>
    <x v="4"/>
    <x v="0"/>
    <x v="0"/>
    <x v="6"/>
    <x v="2"/>
    <x v="8"/>
    <x v="1"/>
  </r>
  <r>
    <x v="1493"/>
    <x v="6"/>
    <x v="2"/>
    <n v="40.9"/>
    <n v="122.69999999999999"/>
    <x v="55"/>
    <d v="2025-02-25T00:00:00"/>
    <x v="0"/>
    <x v="1"/>
    <x v="0"/>
    <x v="0"/>
    <x v="8"/>
    <x v="7"/>
    <x v="8"/>
    <x v="0"/>
  </r>
  <r>
    <x v="1494"/>
    <x v="7"/>
    <x v="3"/>
    <n v="76.2"/>
    <n v="533.4"/>
    <x v="55"/>
    <d v="2025-02-27T00:00:00"/>
    <x v="2"/>
    <x v="2"/>
    <x v="1"/>
    <x v="0"/>
    <x v="8"/>
    <x v="1"/>
    <x v="8"/>
    <x v="2"/>
  </r>
  <r>
    <x v="1495"/>
    <x v="2"/>
    <x v="0"/>
    <n v="85.6"/>
    <n v="85.6"/>
    <x v="55"/>
    <d v="2025-02-27T00:00:00"/>
    <x v="1"/>
    <x v="2"/>
    <x v="0"/>
    <x v="0"/>
    <x v="8"/>
    <x v="1"/>
    <x v="8"/>
    <x v="1"/>
  </r>
  <r>
    <x v="1496"/>
    <x v="4"/>
    <x v="12"/>
    <n v="25"/>
    <n v="100"/>
    <x v="55"/>
    <d v="2025-02-27T00:00:00"/>
    <x v="2"/>
    <x v="2"/>
    <x v="2"/>
    <x v="0"/>
    <x v="8"/>
    <x v="1"/>
    <x v="8"/>
    <x v="2"/>
  </r>
  <r>
    <x v="1497"/>
    <x v="2"/>
    <x v="9"/>
    <n v="150.69999999999999"/>
    <n v="753.5"/>
    <x v="55"/>
    <d v="2025-02-26T00:00:00"/>
    <x v="0"/>
    <x v="0"/>
    <x v="2"/>
    <x v="0"/>
    <x v="8"/>
    <x v="3"/>
    <x v="8"/>
    <x v="0"/>
  </r>
  <r>
    <x v="1498"/>
    <x v="8"/>
    <x v="0"/>
    <n v="19.600000000000001"/>
    <n v="19.600000000000001"/>
    <x v="55"/>
    <d v="2025-02-26T00:00:00"/>
    <x v="1"/>
    <x v="1"/>
    <x v="4"/>
    <x v="0"/>
    <x v="8"/>
    <x v="3"/>
    <x v="8"/>
    <x v="1"/>
  </r>
  <r>
    <x v="1499"/>
    <x v="13"/>
    <x v="1"/>
    <n v="37.5"/>
    <n v="75"/>
    <x v="55"/>
    <d v="2025-02-28T00:00:00"/>
    <x v="2"/>
    <x v="1"/>
    <x v="2"/>
    <x v="0"/>
    <x v="17"/>
    <x v="2"/>
    <x v="8"/>
    <x v="2"/>
  </r>
  <r>
    <x v="1500"/>
    <x v="9"/>
    <x v="2"/>
    <n v="51.9"/>
    <n v="155.69999999999999"/>
    <x v="55"/>
    <d v="2025-03-03T00:00:00"/>
    <x v="2"/>
    <x v="0"/>
    <x v="4"/>
    <x v="0"/>
    <x v="11"/>
    <x v="4"/>
    <x v="8"/>
    <x v="2"/>
  </r>
  <r>
    <x v="1501"/>
    <x v="1"/>
    <x v="1"/>
    <n v="30.9"/>
    <n v="61.8"/>
    <x v="55"/>
    <d v="2025-02-27T00:00:00"/>
    <x v="2"/>
    <x v="1"/>
    <x v="0"/>
    <x v="0"/>
    <x v="18"/>
    <x v="1"/>
    <x v="8"/>
    <x v="2"/>
  </r>
  <r>
    <x v="1502"/>
    <x v="4"/>
    <x v="2"/>
    <n v="21.2"/>
    <n v="63.599999999999994"/>
    <x v="55"/>
    <d v="2025-02-28T00:00:00"/>
    <x v="2"/>
    <x v="1"/>
    <x v="0"/>
    <x v="0"/>
    <x v="19"/>
    <x v="2"/>
    <x v="8"/>
    <x v="2"/>
  </r>
  <r>
    <x v="1503"/>
    <x v="13"/>
    <x v="14"/>
    <n v="17.5"/>
    <n v="297.5"/>
    <x v="55"/>
    <d v="2025-02-26T00:00:00"/>
    <x v="1"/>
    <x v="1"/>
    <x v="1"/>
    <x v="0"/>
    <x v="13"/>
    <x v="3"/>
    <x v="8"/>
    <x v="1"/>
  </r>
  <r>
    <x v="1504"/>
    <x v="12"/>
    <x v="1"/>
    <n v="53.8"/>
    <n v="107.6"/>
    <x v="55"/>
    <d v="2025-03-02T00:00:00"/>
    <x v="2"/>
    <x v="0"/>
    <x v="2"/>
    <x v="0"/>
    <x v="21"/>
    <x v="0"/>
    <x v="8"/>
    <x v="2"/>
  </r>
  <r>
    <x v="1505"/>
    <x v="19"/>
    <x v="1"/>
    <n v="17"/>
    <n v="34"/>
    <x v="55"/>
    <d v="2025-02-26T00:00:00"/>
    <x v="1"/>
    <x v="3"/>
    <x v="0"/>
    <x v="0"/>
    <x v="21"/>
    <x v="3"/>
    <x v="8"/>
    <x v="1"/>
  </r>
  <r>
    <x v="1506"/>
    <x v="6"/>
    <x v="0"/>
    <n v="103.2"/>
    <n v="103.2"/>
    <x v="55"/>
    <d v="2025-03-05T00:00:00"/>
    <x v="1"/>
    <x v="2"/>
    <x v="1"/>
    <x v="0"/>
    <x v="1"/>
    <x v="9"/>
    <x v="8"/>
    <x v="1"/>
  </r>
  <r>
    <x v="1507"/>
    <x v="6"/>
    <x v="12"/>
    <n v="70.3"/>
    <n v="281.2"/>
    <x v="55"/>
    <d v="2025-02-26T00:00:00"/>
    <x v="1"/>
    <x v="0"/>
    <x v="0"/>
    <x v="0"/>
    <x v="3"/>
    <x v="3"/>
    <x v="8"/>
    <x v="1"/>
  </r>
  <r>
    <x v="1508"/>
    <x v="2"/>
    <x v="1"/>
    <n v="73.8"/>
    <n v="147.6"/>
    <x v="55"/>
    <d v="2025-02-25T00:00:00"/>
    <x v="1"/>
    <x v="3"/>
    <x v="2"/>
    <x v="0"/>
    <x v="3"/>
    <x v="7"/>
    <x v="8"/>
    <x v="1"/>
  </r>
  <r>
    <x v="1509"/>
    <x v="1"/>
    <x v="4"/>
    <n v="67.7"/>
    <n v="812.40000000000009"/>
    <x v="55"/>
    <d v="2025-03-01T00:00:00"/>
    <x v="1"/>
    <x v="1"/>
    <x v="1"/>
    <x v="0"/>
    <x v="3"/>
    <x v="5"/>
    <x v="8"/>
    <x v="1"/>
  </r>
  <r>
    <x v="1510"/>
    <x v="13"/>
    <x v="3"/>
    <n v="43.8"/>
    <n v="306.59999999999997"/>
    <x v="55"/>
    <d v="2025-02-27T00:00:00"/>
    <x v="1"/>
    <x v="1"/>
    <x v="0"/>
    <x v="0"/>
    <x v="3"/>
    <x v="1"/>
    <x v="8"/>
    <x v="1"/>
  </r>
  <r>
    <x v="1511"/>
    <x v="17"/>
    <x v="13"/>
    <n v="71.900000000000006"/>
    <n v="431.40000000000003"/>
    <x v="55"/>
    <d v="2025-02-26T00:00:00"/>
    <x v="2"/>
    <x v="2"/>
    <x v="0"/>
    <x v="0"/>
    <x v="3"/>
    <x v="3"/>
    <x v="8"/>
    <x v="2"/>
  </r>
  <r>
    <x v="1512"/>
    <x v="8"/>
    <x v="1"/>
    <n v="26.3"/>
    <n v="52.6"/>
    <x v="56"/>
    <d v="2025-02-28T00:00:00"/>
    <x v="2"/>
    <x v="0"/>
    <x v="1"/>
    <x v="0"/>
    <x v="3"/>
    <x v="1"/>
    <x v="8"/>
    <x v="2"/>
  </r>
  <r>
    <x v="1513"/>
    <x v="6"/>
    <x v="12"/>
    <n v="52.6"/>
    <n v="210.4"/>
    <x v="56"/>
    <d v="2025-02-28T00:00:00"/>
    <x v="2"/>
    <x v="2"/>
    <x v="1"/>
    <x v="0"/>
    <x v="3"/>
    <x v="1"/>
    <x v="8"/>
    <x v="2"/>
  </r>
  <r>
    <x v="1514"/>
    <x v="10"/>
    <x v="0"/>
    <n v="32.700000000000003"/>
    <n v="32.700000000000003"/>
    <x v="56"/>
    <d v="2025-03-05T00:00:00"/>
    <x v="2"/>
    <x v="0"/>
    <x v="2"/>
    <x v="0"/>
    <x v="3"/>
    <x v="6"/>
    <x v="8"/>
    <x v="2"/>
  </r>
  <r>
    <x v="1515"/>
    <x v="5"/>
    <x v="12"/>
    <n v="38.9"/>
    <n v="155.6"/>
    <x v="56"/>
    <d v="2025-02-27T00:00:00"/>
    <x v="2"/>
    <x v="0"/>
    <x v="0"/>
    <x v="0"/>
    <x v="3"/>
    <x v="3"/>
    <x v="8"/>
    <x v="2"/>
  </r>
  <r>
    <x v="1516"/>
    <x v="9"/>
    <x v="9"/>
    <n v="35"/>
    <n v="175"/>
    <x v="56"/>
    <d v="2025-02-28T00:00:00"/>
    <x v="1"/>
    <x v="0"/>
    <x v="0"/>
    <x v="0"/>
    <x v="3"/>
    <x v="1"/>
    <x v="8"/>
    <x v="1"/>
  </r>
  <r>
    <x v="1517"/>
    <x v="2"/>
    <x v="1"/>
    <n v="121"/>
    <n v="242"/>
    <x v="56"/>
    <d v="2025-02-27T00:00:00"/>
    <x v="2"/>
    <x v="1"/>
    <x v="1"/>
    <x v="0"/>
    <x v="3"/>
    <x v="3"/>
    <x v="8"/>
    <x v="2"/>
  </r>
  <r>
    <x v="1518"/>
    <x v="6"/>
    <x v="2"/>
    <n v="65.099999999999994"/>
    <n v="195.29999999999998"/>
    <x v="56"/>
    <d v="2025-03-02T00:00:00"/>
    <x v="1"/>
    <x v="2"/>
    <x v="0"/>
    <x v="0"/>
    <x v="36"/>
    <x v="5"/>
    <x v="8"/>
    <x v="1"/>
  </r>
  <r>
    <x v="1519"/>
    <x v="1"/>
    <x v="38"/>
    <n v="63.8"/>
    <n v="1339.8"/>
    <x v="56"/>
    <d v="2025-02-28T00:00:00"/>
    <x v="2"/>
    <x v="0"/>
    <x v="0"/>
    <x v="0"/>
    <x v="8"/>
    <x v="1"/>
    <x v="8"/>
    <x v="2"/>
  </r>
  <r>
    <x v="1520"/>
    <x v="7"/>
    <x v="0"/>
    <n v="77.7"/>
    <n v="77.7"/>
    <x v="56"/>
    <d v="2025-02-28T00:00:00"/>
    <x v="1"/>
    <x v="0"/>
    <x v="0"/>
    <x v="0"/>
    <x v="8"/>
    <x v="1"/>
    <x v="8"/>
    <x v="1"/>
  </r>
  <r>
    <x v="1521"/>
    <x v="5"/>
    <x v="12"/>
    <n v="60.3"/>
    <n v="241.2"/>
    <x v="56"/>
    <d v="2025-02-26T00:00:00"/>
    <x v="1"/>
    <x v="0"/>
    <x v="2"/>
    <x v="0"/>
    <x v="8"/>
    <x v="7"/>
    <x v="8"/>
    <x v="1"/>
  </r>
  <r>
    <x v="1522"/>
    <x v="5"/>
    <x v="1"/>
    <n v="124.1"/>
    <n v="248.2"/>
    <x v="56"/>
    <d v="2025-03-01T00:00:00"/>
    <x v="2"/>
    <x v="0"/>
    <x v="2"/>
    <x v="0"/>
    <x v="8"/>
    <x v="2"/>
    <x v="8"/>
    <x v="2"/>
  </r>
  <r>
    <x v="1523"/>
    <x v="16"/>
    <x v="3"/>
    <n v="66"/>
    <n v="462"/>
    <x v="56"/>
    <d v="2025-02-26T00:00:00"/>
    <x v="0"/>
    <x v="3"/>
    <x v="0"/>
    <x v="0"/>
    <x v="17"/>
    <x v="7"/>
    <x v="8"/>
    <x v="0"/>
  </r>
  <r>
    <x v="1524"/>
    <x v="2"/>
    <x v="42"/>
    <n v="118.2"/>
    <n v="7446.6"/>
    <x v="56"/>
    <d v="2025-03-03T00:00:00"/>
    <x v="0"/>
    <x v="0"/>
    <x v="0"/>
    <x v="0"/>
    <x v="17"/>
    <x v="0"/>
    <x v="8"/>
    <x v="0"/>
  </r>
  <r>
    <x v="1525"/>
    <x v="5"/>
    <x v="9"/>
    <n v="64.3"/>
    <n v="321.5"/>
    <x v="56"/>
    <d v="2025-02-27T00:00:00"/>
    <x v="1"/>
    <x v="4"/>
    <x v="4"/>
    <x v="0"/>
    <x v="26"/>
    <x v="3"/>
    <x v="8"/>
    <x v="1"/>
  </r>
  <r>
    <x v="1526"/>
    <x v="1"/>
    <x v="1"/>
    <n v="54.8"/>
    <n v="109.6"/>
    <x v="56"/>
    <d v="2025-02-26T00:00:00"/>
    <x v="1"/>
    <x v="0"/>
    <x v="1"/>
    <x v="0"/>
    <x v="26"/>
    <x v="7"/>
    <x v="8"/>
    <x v="1"/>
  </r>
  <r>
    <x v="1527"/>
    <x v="7"/>
    <x v="1"/>
    <n v="78.599999999999994"/>
    <n v="157.19999999999999"/>
    <x v="56"/>
    <d v="2025-02-27T00:00:00"/>
    <x v="1"/>
    <x v="0"/>
    <x v="2"/>
    <x v="0"/>
    <x v="9"/>
    <x v="3"/>
    <x v="8"/>
    <x v="1"/>
  </r>
  <r>
    <x v="1528"/>
    <x v="2"/>
    <x v="9"/>
    <n v="158.5"/>
    <n v="792.5"/>
    <x v="56"/>
    <d v="2025-02-28T00:00:00"/>
    <x v="0"/>
    <x v="2"/>
    <x v="2"/>
    <x v="0"/>
    <x v="9"/>
    <x v="1"/>
    <x v="8"/>
    <x v="0"/>
  </r>
  <r>
    <x v="1529"/>
    <x v="4"/>
    <x v="7"/>
    <n v="23.5"/>
    <n v="235"/>
    <x v="56"/>
    <d v="2025-03-01T00:00:00"/>
    <x v="1"/>
    <x v="0"/>
    <x v="4"/>
    <x v="0"/>
    <x v="10"/>
    <x v="2"/>
    <x v="8"/>
    <x v="1"/>
  </r>
  <r>
    <x v="1530"/>
    <x v="5"/>
    <x v="1"/>
    <n v="32.1"/>
    <n v="64.2"/>
    <x v="56"/>
    <d v="2025-02-28T00:00:00"/>
    <x v="0"/>
    <x v="3"/>
    <x v="0"/>
    <x v="0"/>
    <x v="10"/>
    <x v="1"/>
    <x v="8"/>
    <x v="0"/>
  </r>
  <r>
    <x v="1531"/>
    <x v="17"/>
    <x v="12"/>
    <n v="71.900000000000006"/>
    <n v="287.60000000000002"/>
    <x v="56"/>
    <d v="2025-02-26T00:00:00"/>
    <x v="1"/>
    <x v="2"/>
    <x v="0"/>
    <x v="0"/>
    <x v="19"/>
    <x v="7"/>
    <x v="8"/>
    <x v="1"/>
  </r>
  <r>
    <x v="1532"/>
    <x v="4"/>
    <x v="13"/>
    <n v="22.3"/>
    <n v="133.80000000000001"/>
    <x v="56"/>
    <d v="2025-02-27T00:00:00"/>
    <x v="0"/>
    <x v="3"/>
    <x v="2"/>
    <x v="0"/>
    <x v="13"/>
    <x v="3"/>
    <x v="8"/>
    <x v="0"/>
  </r>
  <r>
    <x v="1533"/>
    <x v="11"/>
    <x v="1"/>
    <n v="29.5"/>
    <n v="59"/>
    <x v="56"/>
    <d v="2025-02-27T00:00:00"/>
    <x v="2"/>
    <x v="0"/>
    <x v="2"/>
    <x v="0"/>
    <x v="13"/>
    <x v="3"/>
    <x v="8"/>
    <x v="2"/>
  </r>
  <r>
    <x v="1534"/>
    <x v="6"/>
    <x v="12"/>
    <n v="41.9"/>
    <n v="167.6"/>
    <x v="56"/>
    <d v="2025-03-02T00:00:00"/>
    <x v="2"/>
    <x v="0"/>
    <x v="1"/>
    <x v="0"/>
    <x v="21"/>
    <x v="5"/>
    <x v="8"/>
    <x v="2"/>
  </r>
  <r>
    <x v="1535"/>
    <x v="6"/>
    <x v="2"/>
    <n v="107.8"/>
    <n v="323.39999999999998"/>
    <x v="56"/>
    <d v="2025-02-27T00:00:00"/>
    <x v="1"/>
    <x v="1"/>
    <x v="2"/>
    <x v="0"/>
    <x v="46"/>
    <x v="3"/>
    <x v="8"/>
    <x v="1"/>
  </r>
  <r>
    <x v="1536"/>
    <x v="4"/>
    <x v="9"/>
    <n v="18.100000000000001"/>
    <n v="90.5"/>
    <x v="56"/>
    <d v="2025-03-01T00:00:00"/>
    <x v="1"/>
    <x v="0"/>
    <x v="2"/>
    <x v="0"/>
    <x v="2"/>
    <x v="2"/>
    <x v="8"/>
    <x v="1"/>
  </r>
  <r>
    <x v="1537"/>
    <x v="12"/>
    <x v="11"/>
    <n v="79.8"/>
    <n v="718.19999999999993"/>
    <x v="56"/>
    <d v="2025-02-27T00:00:00"/>
    <x v="2"/>
    <x v="1"/>
    <x v="1"/>
    <x v="0"/>
    <x v="22"/>
    <x v="3"/>
    <x v="8"/>
    <x v="2"/>
  </r>
  <r>
    <x v="1538"/>
    <x v="0"/>
    <x v="2"/>
    <n v="22.3"/>
    <n v="66.900000000000006"/>
    <x v="56"/>
    <d v="2025-03-01T00:00:00"/>
    <x v="2"/>
    <x v="0"/>
    <x v="2"/>
    <x v="0"/>
    <x v="22"/>
    <x v="2"/>
    <x v="8"/>
    <x v="2"/>
  </r>
  <r>
    <x v="1539"/>
    <x v="8"/>
    <x v="0"/>
    <n v="22.9"/>
    <n v="22.9"/>
    <x v="56"/>
    <d v="2025-02-26T00:00:00"/>
    <x v="2"/>
    <x v="1"/>
    <x v="0"/>
    <x v="0"/>
    <x v="22"/>
    <x v="7"/>
    <x v="8"/>
    <x v="2"/>
  </r>
  <r>
    <x v="1540"/>
    <x v="0"/>
    <x v="2"/>
    <n v="16.2"/>
    <n v="48.599999999999994"/>
    <x v="57"/>
    <d v="2025-02-27T00:00:00"/>
    <x v="1"/>
    <x v="4"/>
    <x v="2"/>
    <x v="0"/>
    <x v="3"/>
    <x v="7"/>
    <x v="8"/>
    <x v="1"/>
  </r>
  <r>
    <x v="1541"/>
    <x v="10"/>
    <x v="12"/>
    <n v="59.5"/>
    <n v="238"/>
    <x v="57"/>
    <d v="2025-02-28T00:00:00"/>
    <x v="1"/>
    <x v="1"/>
    <x v="2"/>
    <x v="0"/>
    <x v="3"/>
    <x v="3"/>
    <x v="8"/>
    <x v="1"/>
  </r>
  <r>
    <x v="1542"/>
    <x v="18"/>
    <x v="9"/>
    <n v="26.2"/>
    <n v="131"/>
    <x v="57"/>
    <d v="2025-03-02T00:00:00"/>
    <x v="1"/>
    <x v="3"/>
    <x v="4"/>
    <x v="0"/>
    <x v="3"/>
    <x v="2"/>
    <x v="8"/>
    <x v="1"/>
  </r>
  <r>
    <x v="1543"/>
    <x v="3"/>
    <x v="0"/>
    <n v="44.2"/>
    <n v="44.2"/>
    <x v="57"/>
    <d v="2025-03-02T00:00:00"/>
    <x v="2"/>
    <x v="1"/>
    <x v="0"/>
    <x v="0"/>
    <x v="3"/>
    <x v="2"/>
    <x v="8"/>
    <x v="2"/>
  </r>
  <r>
    <x v="1544"/>
    <x v="9"/>
    <x v="1"/>
    <n v="59.2"/>
    <n v="118.4"/>
    <x v="57"/>
    <d v="2025-02-27T00:00:00"/>
    <x v="2"/>
    <x v="1"/>
    <x v="4"/>
    <x v="0"/>
    <x v="3"/>
    <x v="7"/>
    <x v="8"/>
    <x v="2"/>
  </r>
  <r>
    <x v="1545"/>
    <x v="15"/>
    <x v="12"/>
    <n v="41.5"/>
    <n v="166"/>
    <x v="57"/>
    <d v="2025-03-01T00:00:00"/>
    <x v="2"/>
    <x v="0"/>
    <x v="0"/>
    <x v="0"/>
    <x v="16"/>
    <x v="1"/>
    <x v="8"/>
    <x v="2"/>
  </r>
  <r>
    <x v="1546"/>
    <x v="6"/>
    <x v="4"/>
    <n v="67.099999999999994"/>
    <n v="805.19999999999993"/>
    <x v="57"/>
    <d v="2025-03-13T00:00:00"/>
    <x v="2"/>
    <x v="0"/>
    <x v="2"/>
    <x v="0"/>
    <x v="23"/>
    <x v="12"/>
    <x v="8"/>
    <x v="2"/>
  </r>
  <r>
    <x v="1547"/>
    <x v="8"/>
    <x v="1"/>
    <n v="28.7"/>
    <n v="57.4"/>
    <x v="57"/>
    <d v="2025-03-03T00:00:00"/>
    <x v="2"/>
    <x v="1"/>
    <x v="0"/>
    <x v="0"/>
    <x v="6"/>
    <x v="5"/>
    <x v="8"/>
    <x v="2"/>
  </r>
  <r>
    <x v="1548"/>
    <x v="2"/>
    <x v="12"/>
    <n v="132.1"/>
    <n v="528.4"/>
    <x v="57"/>
    <d v="2025-02-28T00:00:00"/>
    <x v="2"/>
    <x v="0"/>
    <x v="1"/>
    <x v="0"/>
    <x v="6"/>
    <x v="3"/>
    <x v="8"/>
    <x v="2"/>
  </r>
  <r>
    <x v="1549"/>
    <x v="18"/>
    <x v="1"/>
    <n v="47"/>
    <n v="94"/>
    <x v="57"/>
    <d v="2025-03-01T00:00:00"/>
    <x v="1"/>
    <x v="4"/>
    <x v="0"/>
    <x v="0"/>
    <x v="8"/>
    <x v="1"/>
    <x v="8"/>
    <x v="1"/>
  </r>
  <r>
    <x v="1550"/>
    <x v="8"/>
    <x v="1"/>
    <n v="41.6"/>
    <n v="83.2"/>
    <x v="57"/>
    <d v="2025-03-03T00:00:00"/>
    <x v="1"/>
    <x v="1"/>
    <x v="2"/>
    <x v="0"/>
    <x v="8"/>
    <x v="5"/>
    <x v="8"/>
    <x v="1"/>
  </r>
  <r>
    <x v="1551"/>
    <x v="8"/>
    <x v="43"/>
    <n v="17.3"/>
    <n v="657.4"/>
    <x v="57"/>
    <d v="2025-03-01T00:00:00"/>
    <x v="1"/>
    <x v="2"/>
    <x v="2"/>
    <x v="0"/>
    <x v="8"/>
    <x v="1"/>
    <x v="8"/>
    <x v="1"/>
  </r>
  <r>
    <x v="1552"/>
    <x v="13"/>
    <x v="2"/>
    <n v="41.8"/>
    <n v="125.39999999999999"/>
    <x v="57"/>
    <d v="2025-03-02T00:00:00"/>
    <x v="1"/>
    <x v="0"/>
    <x v="2"/>
    <x v="0"/>
    <x v="8"/>
    <x v="2"/>
    <x v="8"/>
    <x v="1"/>
  </r>
  <r>
    <x v="1553"/>
    <x v="10"/>
    <x v="0"/>
    <n v="24"/>
    <n v="24"/>
    <x v="57"/>
    <d v="2025-02-28T00:00:00"/>
    <x v="2"/>
    <x v="0"/>
    <x v="0"/>
    <x v="0"/>
    <x v="17"/>
    <x v="3"/>
    <x v="8"/>
    <x v="2"/>
  </r>
  <r>
    <x v="1554"/>
    <x v="14"/>
    <x v="11"/>
    <n v="18.5"/>
    <n v="166.5"/>
    <x v="57"/>
    <d v="2025-03-01T00:00:00"/>
    <x v="2"/>
    <x v="0"/>
    <x v="0"/>
    <x v="0"/>
    <x v="9"/>
    <x v="1"/>
    <x v="8"/>
    <x v="2"/>
  </r>
  <r>
    <x v="1555"/>
    <x v="3"/>
    <x v="4"/>
    <n v="66.7"/>
    <n v="800.40000000000009"/>
    <x v="57"/>
    <d v="2025-03-02T00:00:00"/>
    <x v="0"/>
    <x v="0"/>
    <x v="2"/>
    <x v="0"/>
    <x v="11"/>
    <x v="2"/>
    <x v="8"/>
    <x v="0"/>
  </r>
  <r>
    <x v="1556"/>
    <x v="1"/>
    <x v="12"/>
    <n v="33.1"/>
    <n v="132.4"/>
    <x v="57"/>
    <d v="2025-03-04T00:00:00"/>
    <x v="1"/>
    <x v="3"/>
    <x v="0"/>
    <x v="0"/>
    <x v="11"/>
    <x v="0"/>
    <x v="8"/>
    <x v="1"/>
  </r>
  <r>
    <x v="1557"/>
    <x v="19"/>
    <x v="11"/>
    <n v="42.1"/>
    <n v="378.90000000000003"/>
    <x v="57"/>
    <d v="2025-03-10T00:00:00"/>
    <x v="1"/>
    <x v="1"/>
    <x v="0"/>
    <x v="0"/>
    <x v="18"/>
    <x v="11"/>
    <x v="8"/>
    <x v="1"/>
  </r>
  <r>
    <x v="1558"/>
    <x v="18"/>
    <x v="3"/>
    <n v="58.7"/>
    <n v="410.90000000000003"/>
    <x v="57"/>
    <d v="2025-02-27T00:00:00"/>
    <x v="3"/>
    <x v="3"/>
    <x v="0"/>
    <x v="0"/>
    <x v="31"/>
    <x v="7"/>
    <x v="8"/>
    <x v="3"/>
  </r>
  <r>
    <x v="1559"/>
    <x v="6"/>
    <x v="12"/>
    <n v="54"/>
    <n v="216"/>
    <x v="57"/>
    <d v="2025-03-01T00:00:00"/>
    <x v="2"/>
    <x v="1"/>
    <x v="0"/>
    <x v="0"/>
    <x v="1"/>
    <x v="1"/>
    <x v="8"/>
    <x v="2"/>
  </r>
  <r>
    <x v="1560"/>
    <x v="8"/>
    <x v="0"/>
    <n v="52.1"/>
    <n v="52.1"/>
    <x v="57"/>
    <d v="2025-02-28T00:00:00"/>
    <x v="2"/>
    <x v="2"/>
    <x v="2"/>
    <x v="0"/>
    <x v="2"/>
    <x v="3"/>
    <x v="8"/>
    <x v="2"/>
  </r>
  <r>
    <x v="1561"/>
    <x v="19"/>
    <x v="1"/>
    <n v="27"/>
    <n v="54"/>
    <x v="57"/>
    <d v="2025-03-02T00:00:00"/>
    <x v="3"/>
    <x v="2"/>
    <x v="0"/>
    <x v="0"/>
    <x v="22"/>
    <x v="2"/>
    <x v="8"/>
    <x v="3"/>
  </r>
  <r>
    <x v="1562"/>
    <x v="12"/>
    <x v="7"/>
    <n v="31"/>
    <n v="310"/>
    <x v="58"/>
    <d v="2025-03-01T00:00:00"/>
    <x v="2"/>
    <x v="3"/>
    <x v="2"/>
    <x v="0"/>
    <x v="22"/>
    <x v="3"/>
    <x v="8"/>
    <x v="2"/>
  </r>
  <r>
    <x v="1563"/>
    <x v="10"/>
    <x v="1"/>
    <n v="46.7"/>
    <n v="93.4"/>
    <x v="58"/>
    <d v="2025-02-28T00:00:00"/>
    <x v="2"/>
    <x v="0"/>
    <x v="0"/>
    <x v="0"/>
    <x v="34"/>
    <x v="7"/>
    <x v="8"/>
    <x v="2"/>
  </r>
  <r>
    <x v="1564"/>
    <x v="6"/>
    <x v="0"/>
    <n v="144.69999999999999"/>
    <n v="144.69999999999999"/>
    <x v="58"/>
    <d v="2025-03-03T00:00:00"/>
    <x v="1"/>
    <x v="0"/>
    <x v="2"/>
    <x v="0"/>
    <x v="3"/>
    <x v="2"/>
    <x v="8"/>
    <x v="1"/>
  </r>
  <r>
    <x v="1565"/>
    <x v="2"/>
    <x v="11"/>
    <n v="90.9"/>
    <n v="818.1"/>
    <x v="58"/>
    <d v="2025-03-01T00:00:00"/>
    <x v="1"/>
    <x v="0"/>
    <x v="2"/>
    <x v="0"/>
    <x v="3"/>
    <x v="3"/>
    <x v="8"/>
    <x v="1"/>
  </r>
  <r>
    <x v="1566"/>
    <x v="1"/>
    <x v="1"/>
    <n v="75.8"/>
    <n v="151.6"/>
    <x v="58"/>
    <d v="2025-03-01T00:00:00"/>
    <x v="2"/>
    <x v="2"/>
    <x v="1"/>
    <x v="0"/>
    <x v="3"/>
    <x v="3"/>
    <x v="8"/>
    <x v="2"/>
  </r>
  <r>
    <x v="1567"/>
    <x v="7"/>
    <x v="9"/>
    <n v="57.9"/>
    <n v="289.5"/>
    <x v="58"/>
    <d v="2025-03-02T00:00:00"/>
    <x v="1"/>
    <x v="2"/>
    <x v="2"/>
    <x v="0"/>
    <x v="3"/>
    <x v="1"/>
    <x v="8"/>
    <x v="1"/>
  </r>
  <r>
    <x v="1568"/>
    <x v="8"/>
    <x v="9"/>
    <n v="44.8"/>
    <n v="224"/>
    <x v="58"/>
    <d v="2025-03-01T00:00:00"/>
    <x v="2"/>
    <x v="3"/>
    <x v="2"/>
    <x v="0"/>
    <x v="3"/>
    <x v="3"/>
    <x v="8"/>
    <x v="2"/>
  </r>
  <r>
    <x v="1569"/>
    <x v="9"/>
    <x v="2"/>
    <n v="44.2"/>
    <n v="132.60000000000002"/>
    <x v="58"/>
    <d v="2025-03-04T00:00:00"/>
    <x v="1"/>
    <x v="2"/>
    <x v="2"/>
    <x v="0"/>
    <x v="3"/>
    <x v="5"/>
    <x v="8"/>
    <x v="1"/>
  </r>
  <r>
    <x v="1570"/>
    <x v="5"/>
    <x v="9"/>
    <n v="53.5"/>
    <n v="267.5"/>
    <x v="58"/>
    <d v="2025-03-02T00:00:00"/>
    <x v="1"/>
    <x v="0"/>
    <x v="0"/>
    <x v="0"/>
    <x v="37"/>
    <x v="1"/>
    <x v="8"/>
    <x v="1"/>
  </r>
  <r>
    <x v="1571"/>
    <x v="6"/>
    <x v="1"/>
    <n v="72.2"/>
    <n v="144.4"/>
    <x v="58"/>
    <d v="2025-03-01T00:00:00"/>
    <x v="1"/>
    <x v="0"/>
    <x v="2"/>
    <x v="0"/>
    <x v="25"/>
    <x v="3"/>
    <x v="8"/>
    <x v="1"/>
  </r>
  <r>
    <x v="1572"/>
    <x v="6"/>
    <x v="12"/>
    <n v="62.4"/>
    <n v="249.6"/>
    <x v="58"/>
    <d v="2025-03-03T00:00:00"/>
    <x v="2"/>
    <x v="0"/>
    <x v="1"/>
    <x v="0"/>
    <x v="23"/>
    <x v="2"/>
    <x v="8"/>
    <x v="2"/>
  </r>
  <r>
    <x v="1573"/>
    <x v="10"/>
    <x v="9"/>
    <n v="24.7"/>
    <n v="123.5"/>
    <x v="58"/>
    <d v="2025-03-01T00:00:00"/>
    <x v="2"/>
    <x v="0"/>
    <x v="0"/>
    <x v="0"/>
    <x v="6"/>
    <x v="3"/>
    <x v="8"/>
    <x v="2"/>
  </r>
  <r>
    <x v="1574"/>
    <x v="1"/>
    <x v="9"/>
    <n v="61.7"/>
    <n v="308.5"/>
    <x v="58"/>
    <d v="2025-03-02T00:00:00"/>
    <x v="2"/>
    <x v="2"/>
    <x v="0"/>
    <x v="0"/>
    <x v="8"/>
    <x v="1"/>
    <x v="8"/>
    <x v="2"/>
  </r>
  <r>
    <x v="1575"/>
    <x v="8"/>
    <x v="9"/>
    <n v="18.2"/>
    <n v="91"/>
    <x v="58"/>
    <d v="2025-03-02T00:00:00"/>
    <x v="2"/>
    <x v="3"/>
    <x v="0"/>
    <x v="0"/>
    <x v="8"/>
    <x v="1"/>
    <x v="8"/>
    <x v="2"/>
  </r>
  <r>
    <x v="1576"/>
    <x v="10"/>
    <x v="12"/>
    <n v="37.200000000000003"/>
    <n v="148.80000000000001"/>
    <x v="58"/>
    <d v="2025-03-06T00:00:00"/>
    <x v="2"/>
    <x v="0"/>
    <x v="0"/>
    <x v="0"/>
    <x v="8"/>
    <x v="4"/>
    <x v="8"/>
    <x v="2"/>
  </r>
  <r>
    <x v="1577"/>
    <x v="9"/>
    <x v="2"/>
    <n v="53.5"/>
    <n v="160.5"/>
    <x v="58"/>
    <d v="2025-03-02T00:00:00"/>
    <x v="2"/>
    <x v="1"/>
    <x v="2"/>
    <x v="0"/>
    <x v="9"/>
    <x v="1"/>
    <x v="8"/>
    <x v="2"/>
  </r>
  <r>
    <x v="1578"/>
    <x v="8"/>
    <x v="2"/>
    <n v="43.6"/>
    <n v="130.80000000000001"/>
    <x v="58"/>
    <d v="2025-02-28T00:00:00"/>
    <x v="2"/>
    <x v="0"/>
    <x v="0"/>
    <x v="0"/>
    <x v="9"/>
    <x v="7"/>
    <x v="8"/>
    <x v="2"/>
  </r>
  <r>
    <x v="1579"/>
    <x v="1"/>
    <x v="7"/>
    <n v="135"/>
    <n v="1350"/>
    <x v="58"/>
    <d v="2025-03-02T00:00:00"/>
    <x v="2"/>
    <x v="0"/>
    <x v="2"/>
    <x v="0"/>
    <x v="9"/>
    <x v="1"/>
    <x v="8"/>
    <x v="2"/>
  </r>
  <r>
    <x v="1580"/>
    <x v="8"/>
    <x v="9"/>
    <n v="38.5"/>
    <n v="192.5"/>
    <x v="58"/>
    <d v="2025-02-28T00:00:00"/>
    <x v="1"/>
    <x v="4"/>
    <x v="2"/>
    <x v="0"/>
    <x v="10"/>
    <x v="7"/>
    <x v="8"/>
    <x v="1"/>
  </r>
  <r>
    <x v="1581"/>
    <x v="9"/>
    <x v="1"/>
    <n v="24"/>
    <n v="48"/>
    <x v="58"/>
    <d v="2025-03-05T00:00:00"/>
    <x v="2"/>
    <x v="0"/>
    <x v="0"/>
    <x v="0"/>
    <x v="11"/>
    <x v="0"/>
    <x v="8"/>
    <x v="2"/>
  </r>
  <r>
    <x v="1582"/>
    <x v="4"/>
    <x v="2"/>
    <n v="28.2"/>
    <n v="84.6"/>
    <x v="58"/>
    <d v="2025-03-02T00:00:00"/>
    <x v="1"/>
    <x v="0"/>
    <x v="3"/>
    <x v="0"/>
    <x v="18"/>
    <x v="1"/>
    <x v="8"/>
    <x v="1"/>
  </r>
  <r>
    <x v="1583"/>
    <x v="7"/>
    <x v="2"/>
    <n v="37.4"/>
    <n v="112.19999999999999"/>
    <x v="58"/>
    <d v="2025-03-01T00:00:00"/>
    <x v="2"/>
    <x v="3"/>
    <x v="0"/>
    <x v="0"/>
    <x v="1"/>
    <x v="3"/>
    <x v="8"/>
    <x v="2"/>
  </r>
  <r>
    <x v="1584"/>
    <x v="6"/>
    <x v="2"/>
    <n v="53.5"/>
    <n v="160.5"/>
    <x v="58"/>
    <d v="2025-03-03T00:00:00"/>
    <x v="0"/>
    <x v="4"/>
    <x v="4"/>
    <x v="0"/>
    <x v="1"/>
    <x v="2"/>
    <x v="8"/>
    <x v="0"/>
  </r>
  <r>
    <x v="1585"/>
    <x v="11"/>
    <x v="9"/>
    <n v="36.200000000000003"/>
    <n v="181"/>
    <x v="58"/>
    <d v="2025-03-01T00:00:00"/>
    <x v="1"/>
    <x v="1"/>
    <x v="2"/>
    <x v="0"/>
    <x v="33"/>
    <x v="3"/>
    <x v="8"/>
    <x v="1"/>
  </r>
  <r>
    <x v="1586"/>
    <x v="0"/>
    <x v="8"/>
    <n v="31.9"/>
    <n v="255.2"/>
    <x v="58"/>
    <d v="2025-03-01T00:00:00"/>
    <x v="2"/>
    <x v="4"/>
    <x v="0"/>
    <x v="0"/>
    <x v="3"/>
    <x v="3"/>
    <x v="8"/>
    <x v="2"/>
  </r>
  <r>
    <x v="1587"/>
    <x v="8"/>
    <x v="2"/>
    <n v="21.3"/>
    <n v="63.900000000000006"/>
    <x v="58"/>
    <d v="2025-03-01T00:00:00"/>
    <x v="1"/>
    <x v="0"/>
    <x v="2"/>
    <x v="0"/>
    <x v="3"/>
    <x v="3"/>
    <x v="8"/>
    <x v="1"/>
  </r>
  <r>
    <x v="1588"/>
    <x v="8"/>
    <x v="0"/>
    <n v="36.299999999999997"/>
    <n v="36.299999999999997"/>
    <x v="58"/>
    <d v="2025-03-02T00:00:00"/>
    <x v="3"/>
    <x v="4"/>
    <x v="0"/>
    <x v="0"/>
    <x v="3"/>
    <x v="1"/>
    <x v="8"/>
    <x v="3"/>
  </r>
  <r>
    <x v="1589"/>
    <x v="6"/>
    <x v="2"/>
    <n v="110.5"/>
    <n v="331.5"/>
    <x v="58"/>
    <d v="2025-03-01T00:00:00"/>
    <x v="2"/>
    <x v="0"/>
    <x v="3"/>
    <x v="0"/>
    <x v="3"/>
    <x v="3"/>
    <x v="8"/>
    <x v="2"/>
  </r>
  <r>
    <x v="1590"/>
    <x v="10"/>
    <x v="3"/>
    <n v="32.6"/>
    <n v="228.20000000000002"/>
    <x v="58"/>
    <d v="2025-03-02T00:00:00"/>
    <x v="2"/>
    <x v="0"/>
    <x v="1"/>
    <x v="0"/>
    <x v="3"/>
    <x v="1"/>
    <x v="8"/>
    <x v="2"/>
  </r>
  <r>
    <x v="1591"/>
    <x v="5"/>
    <x v="2"/>
    <n v="55.6"/>
    <n v="166.8"/>
    <x v="59"/>
    <d v="2025-03-14T00:00:00"/>
    <x v="2"/>
    <x v="0"/>
    <x v="0"/>
    <x v="0"/>
    <x v="3"/>
    <x v="10"/>
    <x v="8"/>
    <x v="2"/>
  </r>
  <r>
    <x v="1592"/>
    <x v="1"/>
    <x v="12"/>
    <n v="38"/>
    <n v="152"/>
    <x v="59"/>
    <d v="2025-03-02T00:00:00"/>
    <x v="2"/>
    <x v="3"/>
    <x v="2"/>
    <x v="0"/>
    <x v="5"/>
    <x v="3"/>
    <x v="8"/>
    <x v="2"/>
  </r>
  <r>
    <x v="1593"/>
    <x v="10"/>
    <x v="1"/>
    <n v="51.8"/>
    <n v="103.6"/>
    <x v="59"/>
    <d v="2025-03-07T00:00:00"/>
    <x v="1"/>
    <x v="1"/>
    <x v="4"/>
    <x v="0"/>
    <x v="6"/>
    <x v="4"/>
    <x v="8"/>
    <x v="1"/>
  </r>
  <r>
    <x v="1594"/>
    <x v="11"/>
    <x v="8"/>
    <n v="28.7"/>
    <n v="229.6"/>
    <x v="59"/>
    <d v="2025-03-06T00:00:00"/>
    <x v="2"/>
    <x v="0"/>
    <x v="0"/>
    <x v="0"/>
    <x v="6"/>
    <x v="0"/>
    <x v="8"/>
    <x v="2"/>
  </r>
  <r>
    <x v="1595"/>
    <x v="6"/>
    <x v="4"/>
    <n v="52.2"/>
    <n v="626.40000000000009"/>
    <x v="59"/>
    <d v="2025-03-01T00:00:00"/>
    <x v="1"/>
    <x v="0"/>
    <x v="1"/>
    <x v="0"/>
    <x v="6"/>
    <x v="7"/>
    <x v="8"/>
    <x v="1"/>
  </r>
  <r>
    <x v="1596"/>
    <x v="1"/>
    <x v="1"/>
    <n v="68.2"/>
    <n v="136.4"/>
    <x v="59"/>
    <d v="2025-03-02T00:00:00"/>
    <x v="0"/>
    <x v="2"/>
    <x v="0"/>
    <x v="0"/>
    <x v="7"/>
    <x v="3"/>
    <x v="8"/>
    <x v="0"/>
  </r>
  <r>
    <x v="1597"/>
    <x v="0"/>
    <x v="2"/>
    <n v="34"/>
    <n v="102"/>
    <x v="59"/>
    <d v="2025-03-05T00:00:00"/>
    <x v="2"/>
    <x v="0"/>
    <x v="0"/>
    <x v="0"/>
    <x v="8"/>
    <x v="5"/>
    <x v="8"/>
    <x v="2"/>
  </r>
  <r>
    <x v="1598"/>
    <x v="8"/>
    <x v="2"/>
    <n v="19.100000000000001"/>
    <n v="57.300000000000004"/>
    <x v="59"/>
    <d v="2025-03-02T00:00:00"/>
    <x v="2"/>
    <x v="4"/>
    <x v="0"/>
    <x v="0"/>
    <x v="8"/>
    <x v="3"/>
    <x v="8"/>
    <x v="2"/>
  </r>
  <r>
    <x v="1599"/>
    <x v="5"/>
    <x v="8"/>
    <n v="34"/>
    <n v="272"/>
    <x v="59"/>
    <d v="2025-03-09T00:00:00"/>
    <x v="2"/>
    <x v="4"/>
    <x v="0"/>
    <x v="0"/>
    <x v="8"/>
    <x v="9"/>
    <x v="8"/>
    <x v="2"/>
  </r>
  <r>
    <x v="1600"/>
    <x v="12"/>
    <x v="1"/>
    <n v="109.1"/>
    <n v="218.2"/>
    <x v="59"/>
    <d v="2025-03-03T00:00:00"/>
    <x v="1"/>
    <x v="0"/>
    <x v="2"/>
    <x v="0"/>
    <x v="8"/>
    <x v="1"/>
    <x v="8"/>
    <x v="1"/>
  </r>
  <r>
    <x v="1601"/>
    <x v="18"/>
    <x v="1"/>
    <n v="64.8"/>
    <n v="129.6"/>
    <x v="59"/>
    <d v="2025-03-03T00:00:00"/>
    <x v="1"/>
    <x v="0"/>
    <x v="2"/>
    <x v="0"/>
    <x v="8"/>
    <x v="1"/>
    <x v="8"/>
    <x v="1"/>
  </r>
  <r>
    <x v="1602"/>
    <x v="10"/>
    <x v="1"/>
    <n v="21.1"/>
    <n v="42.2"/>
    <x v="59"/>
    <d v="2025-03-01T00:00:00"/>
    <x v="2"/>
    <x v="1"/>
    <x v="0"/>
    <x v="0"/>
    <x v="11"/>
    <x v="7"/>
    <x v="8"/>
    <x v="2"/>
  </r>
  <r>
    <x v="1603"/>
    <x v="0"/>
    <x v="8"/>
    <n v="21.3"/>
    <n v="170.4"/>
    <x v="59"/>
    <d v="2025-03-03T00:00:00"/>
    <x v="1"/>
    <x v="3"/>
    <x v="1"/>
    <x v="0"/>
    <x v="18"/>
    <x v="1"/>
    <x v="8"/>
    <x v="1"/>
  </r>
  <r>
    <x v="1604"/>
    <x v="9"/>
    <x v="2"/>
    <n v="24.3"/>
    <n v="72.900000000000006"/>
    <x v="59"/>
    <d v="2025-03-02T00:00:00"/>
    <x v="1"/>
    <x v="1"/>
    <x v="0"/>
    <x v="0"/>
    <x v="19"/>
    <x v="3"/>
    <x v="8"/>
    <x v="1"/>
  </r>
  <r>
    <x v="1605"/>
    <x v="8"/>
    <x v="0"/>
    <n v="43.3"/>
    <n v="43.3"/>
    <x v="59"/>
    <d v="2025-03-05T00:00:00"/>
    <x v="1"/>
    <x v="1"/>
    <x v="1"/>
    <x v="0"/>
    <x v="13"/>
    <x v="5"/>
    <x v="8"/>
    <x v="1"/>
  </r>
  <r>
    <x v="1606"/>
    <x v="9"/>
    <x v="2"/>
    <n v="41"/>
    <n v="123"/>
    <x v="59"/>
    <d v="2025-03-02T00:00:00"/>
    <x v="2"/>
    <x v="3"/>
    <x v="4"/>
    <x v="0"/>
    <x v="21"/>
    <x v="3"/>
    <x v="8"/>
    <x v="2"/>
  </r>
  <r>
    <x v="1607"/>
    <x v="16"/>
    <x v="2"/>
    <n v="54.1"/>
    <n v="162.30000000000001"/>
    <x v="59"/>
    <d v="2025-03-03T00:00:00"/>
    <x v="2"/>
    <x v="4"/>
    <x v="0"/>
    <x v="0"/>
    <x v="21"/>
    <x v="1"/>
    <x v="8"/>
    <x v="2"/>
  </r>
  <r>
    <x v="1608"/>
    <x v="11"/>
    <x v="1"/>
    <n v="39"/>
    <n v="78"/>
    <x v="59"/>
    <d v="2025-03-02T00:00:00"/>
    <x v="1"/>
    <x v="1"/>
    <x v="2"/>
    <x v="0"/>
    <x v="1"/>
    <x v="3"/>
    <x v="8"/>
    <x v="1"/>
  </r>
  <r>
    <x v="1609"/>
    <x v="8"/>
    <x v="1"/>
    <n v="40.299999999999997"/>
    <n v="80.599999999999994"/>
    <x v="59"/>
    <d v="2025-03-03T00:00:00"/>
    <x v="1"/>
    <x v="3"/>
    <x v="0"/>
    <x v="0"/>
    <x v="27"/>
    <x v="1"/>
    <x v="8"/>
    <x v="1"/>
  </r>
  <r>
    <x v="1610"/>
    <x v="8"/>
    <x v="2"/>
    <n v="24.1"/>
    <n v="72.300000000000011"/>
    <x v="59"/>
    <d v="2025-03-02T00:00:00"/>
    <x v="1"/>
    <x v="0"/>
    <x v="2"/>
    <x v="0"/>
    <x v="34"/>
    <x v="3"/>
    <x v="8"/>
    <x v="1"/>
  </r>
  <r>
    <x v="1611"/>
    <x v="6"/>
    <x v="9"/>
    <n v="52.3"/>
    <n v="261.5"/>
    <x v="59"/>
    <d v="2025-03-02T00:00:00"/>
    <x v="1"/>
    <x v="2"/>
    <x v="0"/>
    <x v="0"/>
    <x v="3"/>
    <x v="3"/>
    <x v="8"/>
    <x v="1"/>
  </r>
  <r>
    <x v="1612"/>
    <x v="12"/>
    <x v="12"/>
    <n v="68.8"/>
    <n v="275.2"/>
    <x v="59"/>
    <d v="2025-03-05T00:00:00"/>
    <x v="2"/>
    <x v="4"/>
    <x v="2"/>
    <x v="0"/>
    <x v="3"/>
    <x v="5"/>
    <x v="8"/>
    <x v="2"/>
  </r>
  <r>
    <x v="1613"/>
    <x v="2"/>
    <x v="1"/>
    <n v="128.80000000000001"/>
    <n v="257.60000000000002"/>
    <x v="60"/>
    <d v="2025-03-05T00:00:00"/>
    <x v="2"/>
    <x v="1"/>
    <x v="1"/>
    <x v="0"/>
    <x v="3"/>
    <x v="2"/>
    <x v="9"/>
    <x v="2"/>
  </r>
  <r>
    <x v="1614"/>
    <x v="15"/>
    <x v="9"/>
    <n v="48.2"/>
    <n v="241"/>
    <x v="60"/>
    <d v="2025-03-04T00:00:00"/>
    <x v="2"/>
    <x v="3"/>
    <x v="0"/>
    <x v="0"/>
    <x v="3"/>
    <x v="1"/>
    <x v="9"/>
    <x v="2"/>
  </r>
  <r>
    <x v="1615"/>
    <x v="10"/>
    <x v="0"/>
    <n v="39.700000000000003"/>
    <n v="39.700000000000003"/>
    <x v="60"/>
    <d v="2025-03-04T00:00:00"/>
    <x v="2"/>
    <x v="0"/>
    <x v="1"/>
    <x v="0"/>
    <x v="3"/>
    <x v="1"/>
    <x v="9"/>
    <x v="2"/>
  </r>
  <r>
    <x v="1616"/>
    <x v="9"/>
    <x v="0"/>
    <n v="59.7"/>
    <n v="59.7"/>
    <x v="60"/>
    <d v="2025-03-05T00:00:00"/>
    <x v="2"/>
    <x v="4"/>
    <x v="0"/>
    <x v="0"/>
    <x v="3"/>
    <x v="2"/>
    <x v="9"/>
    <x v="2"/>
  </r>
  <r>
    <x v="1617"/>
    <x v="6"/>
    <x v="0"/>
    <n v="48.3"/>
    <n v="48.3"/>
    <x v="60"/>
    <d v="2025-03-16T00:00:00"/>
    <x v="3"/>
    <x v="0"/>
    <x v="2"/>
    <x v="0"/>
    <x v="3"/>
    <x v="12"/>
    <x v="9"/>
    <x v="3"/>
  </r>
  <r>
    <x v="1618"/>
    <x v="8"/>
    <x v="2"/>
    <n v="45.5"/>
    <n v="136.5"/>
    <x v="60"/>
    <d v="2025-03-04T00:00:00"/>
    <x v="1"/>
    <x v="2"/>
    <x v="1"/>
    <x v="0"/>
    <x v="3"/>
    <x v="1"/>
    <x v="9"/>
    <x v="1"/>
  </r>
  <r>
    <x v="1619"/>
    <x v="9"/>
    <x v="6"/>
    <n v="51"/>
    <n v="1377"/>
    <x v="60"/>
    <d v="2025-03-02T00:00:00"/>
    <x v="2"/>
    <x v="2"/>
    <x v="0"/>
    <x v="0"/>
    <x v="3"/>
    <x v="7"/>
    <x v="9"/>
    <x v="2"/>
  </r>
  <r>
    <x v="1620"/>
    <x v="4"/>
    <x v="13"/>
    <n v="20.399999999999999"/>
    <n v="122.39999999999999"/>
    <x v="60"/>
    <d v="2025-03-03T00:00:00"/>
    <x v="1"/>
    <x v="2"/>
    <x v="0"/>
    <x v="0"/>
    <x v="3"/>
    <x v="3"/>
    <x v="9"/>
    <x v="1"/>
  </r>
  <r>
    <x v="1621"/>
    <x v="10"/>
    <x v="1"/>
    <n v="30.4"/>
    <n v="60.8"/>
    <x v="60"/>
    <d v="2025-03-04T00:00:00"/>
    <x v="1"/>
    <x v="2"/>
    <x v="0"/>
    <x v="0"/>
    <x v="3"/>
    <x v="1"/>
    <x v="9"/>
    <x v="1"/>
  </r>
  <r>
    <x v="1622"/>
    <x v="7"/>
    <x v="1"/>
    <n v="71.5"/>
    <n v="143"/>
    <x v="60"/>
    <d v="2025-03-06T00:00:00"/>
    <x v="2"/>
    <x v="0"/>
    <x v="0"/>
    <x v="0"/>
    <x v="3"/>
    <x v="5"/>
    <x v="9"/>
    <x v="2"/>
  </r>
  <r>
    <x v="1623"/>
    <x v="8"/>
    <x v="13"/>
    <n v="18"/>
    <n v="108"/>
    <x v="60"/>
    <d v="2025-03-03T00:00:00"/>
    <x v="3"/>
    <x v="1"/>
    <x v="2"/>
    <x v="0"/>
    <x v="6"/>
    <x v="3"/>
    <x v="9"/>
    <x v="3"/>
  </r>
  <r>
    <x v="1624"/>
    <x v="15"/>
    <x v="5"/>
    <n v="45.6"/>
    <n v="501.6"/>
    <x v="60"/>
    <d v="2025-03-03T00:00:00"/>
    <x v="3"/>
    <x v="1"/>
    <x v="1"/>
    <x v="0"/>
    <x v="7"/>
    <x v="3"/>
    <x v="9"/>
    <x v="3"/>
  </r>
  <r>
    <x v="1625"/>
    <x v="9"/>
    <x v="0"/>
    <n v="31.8"/>
    <n v="31.8"/>
    <x v="60"/>
    <d v="2025-03-06T00:00:00"/>
    <x v="2"/>
    <x v="0"/>
    <x v="2"/>
    <x v="0"/>
    <x v="7"/>
    <x v="5"/>
    <x v="9"/>
    <x v="2"/>
  </r>
  <r>
    <x v="1626"/>
    <x v="8"/>
    <x v="9"/>
    <n v="19.899999999999999"/>
    <n v="99.5"/>
    <x v="60"/>
    <d v="2025-03-03T00:00:00"/>
    <x v="2"/>
    <x v="1"/>
    <x v="0"/>
    <x v="0"/>
    <x v="7"/>
    <x v="3"/>
    <x v="9"/>
    <x v="2"/>
  </r>
  <r>
    <x v="1627"/>
    <x v="12"/>
    <x v="11"/>
    <n v="52.1"/>
    <n v="468.90000000000003"/>
    <x v="60"/>
    <d v="2025-03-04T00:00:00"/>
    <x v="1"/>
    <x v="0"/>
    <x v="0"/>
    <x v="0"/>
    <x v="8"/>
    <x v="1"/>
    <x v="9"/>
    <x v="1"/>
  </r>
  <r>
    <x v="1628"/>
    <x v="1"/>
    <x v="3"/>
    <n v="45.9"/>
    <n v="321.3"/>
    <x v="60"/>
    <d v="2025-03-03T00:00:00"/>
    <x v="1"/>
    <x v="0"/>
    <x v="1"/>
    <x v="0"/>
    <x v="8"/>
    <x v="3"/>
    <x v="9"/>
    <x v="1"/>
  </r>
  <r>
    <x v="1629"/>
    <x v="1"/>
    <x v="7"/>
    <n v="115.9"/>
    <n v="1159"/>
    <x v="60"/>
    <d v="2025-03-05T00:00:00"/>
    <x v="2"/>
    <x v="1"/>
    <x v="0"/>
    <x v="0"/>
    <x v="8"/>
    <x v="2"/>
    <x v="9"/>
    <x v="2"/>
  </r>
  <r>
    <x v="1630"/>
    <x v="6"/>
    <x v="11"/>
    <n v="86"/>
    <n v="774"/>
    <x v="60"/>
    <d v="2025-03-07T00:00:00"/>
    <x v="2"/>
    <x v="0"/>
    <x v="1"/>
    <x v="0"/>
    <x v="8"/>
    <x v="0"/>
    <x v="9"/>
    <x v="2"/>
  </r>
  <r>
    <x v="1631"/>
    <x v="7"/>
    <x v="3"/>
    <n v="73.599999999999994"/>
    <n v="515.19999999999993"/>
    <x v="60"/>
    <d v="2025-03-04T00:00:00"/>
    <x v="2"/>
    <x v="0"/>
    <x v="0"/>
    <x v="0"/>
    <x v="17"/>
    <x v="1"/>
    <x v="9"/>
    <x v="2"/>
  </r>
  <r>
    <x v="1632"/>
    <x v="10"/>
    <x v="2"/>
    <n v="26.7"/>
    <n v="80.099999999999994"/>
    <x v="60"/>
    <d v="2025-03-06T00:00:00"/>
    <x v="2"/>
    <x v="0"/>
    <x v="0"/>
    <x v="0"/>
    <x v="11"/>
    <x v="5"/>
    <x v="9"/>
    <x v="2"/>
  </r>
  <r>
    <x v="1633"/>
    <x v="8"/>
    <x v="3"/>
    <n v="46.6"/>
    <n v="326.2"/>
    <x v="60"/>
    <d v="2025-03-04T00:00:00"/>
    <x v="0"/>
    <x v="3"/>
    <x v="0"/>
    <x v="0"/>
    <x v="11"/>
    <x v="1"/>
    <x v="9"/>
    <x v="0"/>
  </r>
  <r>
    <x v="1634"/>
    <x v="3"/>
    <x v="2"/>
    <n v="84.6"/>
    <n v="253.79999999999998"/>
    <x v="60"/>
    <d v="2025-03-04T00:00:00"/>
    <x v="1"/>
    <x v="4"/>
    <x v="0"/>
    <x v="0"/>
    <x v="11"/>
    <x v="1"/>
    <x v="9"/>
    <x v="1"/>
  </r>
  <r>
    <x v="1635"/>
    <x v="7"/>
    <x v="21"/>
    <n v="41.5"/>
    <n v="581"/>
    <x v="60"/>
    <d v="2025-03-16T00:00:00"/>
    <x v="1"/>
    <x v="1"/>
    <x v="0"/>
    <x v="0"/>
    <x v="53"/>
    <x v="12"/>
    <x v="9"/>
    <x v="1"/>
  </r>
  <r>
    <x v="1636"/>
    <x v="8"/>
    <x v="0"/>
    <n v="32.799999999999997"/>
    <n v="32.799999999999997"/>
    <x v="60"/>
    <d v="2025-03-05T00:00:00"/>
    <x v="1"/>
    <x v="0"/>
    <x v="2"/>
    <x v="0"/>
    <x v="30"/>
    <x v="2"/>
    <x v="9"/>
    <x v="1"/>
  </r>
  <r>
    <x v="1637"/>
    <x v="4"/>
    <x v="3"/>
    <n v="46.7"/>
    <n v="326.90000000000003"/>
    <x v="60"/>
    <d v="2025-03-04T00:00:00"/>
    <x v="3"/>
    <x v="0"/>
    <x v="2"/>
    <x v="0"/>
    <x v="18"/>
    <x v="1"/>
    <x v="9"/>
    <x v="3"/>
  </r>
  <r>
    <x v="1638"/>
    <x v="15"/>
    <x v="3"/>
    <n v="21"/>
    <n v="147"/>
    <x v="60"/>
    <d v="2025-03-05T00:00:00"/>
    <x v="1"/>
    <x v="2"/>
    <x v="1"/>
    <x v="0"/>
    <x v="21"/>
    <x v="2"/>
    <x v="9"/>
    <x v="1"/>
  </r>
  <r>
    <x v="1639"/>
    <x v="5"/>
    <x v="3"/>
    <n v="29.4"/>
    <n v="205.79999999999998"/>
    <x v="60"/>
    <d v="2025-03-02T00:00:00"/>
    <x v="1"/>
    <x v="3"/>
    <x v="2"/>
    <x v="0"/>
    <x v="21"/>
    <x v="7"/>
    <x v="9"/>
    <x v="1"/>
  </r>
  <r>
    <x v="1640"/>
    <x v="15"/>
    <x v="1"/>
    <n v="32.299999999999997"/>
    <n v="64.599999999999994"/>
    <x v="60"/>
    <d v="2025-03-03T00:00:00"/>
    <x v="1"/>
    <x v="0"/>
    <x v="2"/>
    <x v="0"/>
    <x v="21"/>
    <x v="3"/>
    <x v="9"/>
    <x v="1"/>
  </r>
  <r>
    <x v="1641"/>
    <x v="6"/>
    <x v="0"/>
    <n v="42.2"/>
    <n v="42.2"/>
    <x v="61"/>
    <d v="2025-03-05T00:00:00"/>
    <x v="2"/>
    <x v="0"/>
    <x v="2"/>
    <x v="0"/>
    <x v="21"/>
    <x v="1"/>
    <x v="9"/>
    <x v="2"/>
  </r>
  <r>
    <x v="1642"/>
    <x v="6"/>
    <x v="0"/>
    <n v="53.7"/>
    <n v="53.7"/>
    <x v="61"/>
    <d v="2025-03-05T00:00:00"/>
    <x v="1"/>
    <x v="1"/>
    <x v="1"/>
    <x v="0"/>
    <x v="1"/>
    <x v="1"/>
    <x v="9"/>
    <x v="1"/>
  </r>
  <r>
    <x v="1643"/>
    <x v="2"/>
    <x v="1"/>
    <n v="123.9"/>
    <n v="247.8"/>
    <x v="61"/>
    <d v="2025-03-06T00:00:00"/>
    <x v="1"/>
    <x v="2"/>
    <x v="0"/>
    <x v="0"/>
    <x v="1"/>
    <x v="2"/>
    <x v="9"/>
    <x v="1"/>
  </r>
  <r>
    <x v="1644"/>
    <x v="4"/>
    <x v="2"/>
    <n v="35.9"/>
    <n v="107.69999999999999"/>
    <x v="61"/>
    <d v="2025-03-05T00:00:00"/>
    <x v="1"/>
    <x v="2"/>
    <x v="0"/>
    <x v="0"/>
    <x v="22"/>
    <x v="1"/>
    <x v="9"/>
    <x v="1"/>
  </r>
  <r>
    <x v="1645"/>
    <x v="4"/>
    <x v="1"/>
    <n v="23.6"/>
    <n v="47.2"/>
    <x v="61"/>
    <d v="2025-03-06T00:00:00"/>
    <x v="1"/>
    <x v="0"/>
    <x v="2"/>
    <x v="0"/>
    <x v="3"/>
    <x v="2"/>
    <x v="9"/>
    <x v="1"/>
  </r>
  <r>
    <x v="1646"/>
    <x v="15"/>
    <x v="36"/>
    <n v="45.7"/>
    <n v="1599.5"/>
    <x v="61"/>
    <d v="2025-03-04T00:00:00"/>
    <x v="1"/>
    <x v="0"/>
    <x v="1"/>
    <x v="0"/>
    <x v="3"/>
    <x v="3"/>
    <x v="9"/>
    <x v="1"/>
  </r>
  <r>
    <x v="1647"/>
    <x v="6"/>
    <x v="5"/>
    <n v="118.3"/>
    <n v="1301.3"/>
    <x v="61"/>
    <d v="2025-03-05T00:00:00"/>
    <x v="1"/>
    <x v="4"/>
    <x v="2"/>
    <x v="0"/>
    <x v="3"/>
    <x v="1"/>
    <x v="9"/>
    <x v="1"/>
  </r>
  <r>
    <x v="1648"/>
    <x v="19"/>
    <x v="0"/>
    <n v="36"/>
    <n v="36"/>
    <x v="61"/>
    <d v="2025-03-04T00:00:00"/>
    <x v="2"/>
    <x v="0"/>
    <x v="1"/>
    <x v="0"/>
    <x v="3"/>
    <x v="3"/>
    <x v="9"/>
    <x v="2"/>
  </r>
  <r>
    <x v="1649"/>
    <x v="8"/>
    <x v="1"/>
    <n v="37.1"/>
    <n v="74.2"/>
    <x v="61"/>
    <d v="2025-03-06T00:00:00"/>
    <x v="2"/>
    <x v="2"/>
    <x v="0"/>
    <x v="0"/>
    <x v="3"/>
    <x v="2"/>
    <x v="9"/>
    <x v="2"/>
  </r>
  <r>
    <x v="1650"/>
    <x v="18"/>
    <x v="2"/>
    <n v="45.1"/>
    <n v="135.30000000000001"/>
    <x v="61"/>
    <d v="2025-03-05T00:00:00"/>
    <x v="2"/>
    <x v="1"/>
    <x v="2"/>
    <x v="0"/>
    <x v="3"/>
    <x v="1"/>
    <x v="9"/>
    <x v="2"/>
  </r>
  <r>
    <x v="1651"/>
    <x v="5"/>
    <x v="27"/>
    <n v="37.9"/>
    <n v="606.4"/>
    <x v="61"/>
    <d v="2025-03-04T00:00:00"/>
    <x v="2"/>
    <x v="3"/>
    <x v="2"/>
    <x v="0"/>
    <x v="3"/>
    <x v="3"/>
    <x v="9"/>
    <x v="2"/>
  </r>
  <r>
    <x v="1652"/>
    <x v="2"/>
    <x v="1"/>
    <n v="121.6"/>
    <n v="243.2"/>
    <x v="61"/>
    <d v="2025-03-06T00:00:00"/>
    <x v="1"/>
    <x v="3"/>
    <x v="2"/>
    <x v="0"/>
    <x v="3"/>
    <x v="2"/>
    <x v="9"/>
    <x v="1"/>
  </r>
  <r>
    <x v="1653"/>
    <x v="5"/>
    <x v="3"/>
    <n v="38.200000000000003"/>
    <n v="267.40000000000003"/>
    <x v="61"/>
    <d v="2025-03-06T00:00:00"/>
    <x v="2"/>
    <x v="0"/>
    <x v="0"/>
    <x v="0"/>
    <x v="3"/>
    <x v="2"/>
    <x v="9"/>
    <x v="2"/>
  </r>
  <r>
    <x v="1654"/>
    <x v="17"/>
    <x v="1"/>
    <n v="37.200000000000003"/>
    <n v="74.400000000000006"/>
    <x v="61"/>
    <d v="2025-03-06T00:00:00"/>
    <x v="1"/>
    <x v="4"/>
    <x v="0"/>
    <x v="0"/>
    <x v="3"/>
    <x v="2"/>
    <x v="9"/>
    <x v="1"/>
  </r>
  <r>
    <x v="1655"/>
    <x v="2"/>
    <x v="12"/>
    <n v="115.7"/>
    <n v="462.8"/>
    <x v="61"/>
    <d v="2025-03-06T00:00:00"/>
    <x v="2"/>
    <x v="1"/>
    <x v="0"/>
    <x v="0"/>
    <x v="3"/>
    <x v="2"/>
    <x v="9"/>
    <x v="2"/>
  </r>
  <r>
    <x v="1656"/>
    <x v="2"/>
    <x v="13"/>
    <n v="99.4"/>
    <n v="596.40000000000009"/>
    <x v="61"/>
    <d v="2025-03-06T00:00:00"/>
    <x v="1"/>
    <x v="0"/>
    <x v="2"/>
    <x v="0"/>
    <x v="3"/>
    <x v="2"/>
    <x v="9"/>
    <x v="1"/>
  </r>
  <r>
    <x v="1657"/>
    <x v="11"/>
    <x v="0"/>
    <n v="38.700000000000003"/>
    <n v="38.700000000000003"/>
    <x v="61"/>
    <d v="2025-03-04T00:00:00"/>
    <x v="2"/>
    <x v="2"/>
    <x v="0"/>
    <x v="0"/>
    <x v="25"/>
    <x v="3"/>
    <x v="9"/>
    <x v="2"/>
  </r>
  <r>
    <x v="1658"/>
    <x v="4"/>
    <x v="1"/>
    <n v="35.5"/>
    <n v="71"/>
    <x v="61"/>
    <d v="2025-03-06T00:00:00"/>
    <x v="1"/>
    <x v="0"/>
    <x v="2"/>
    <x v="0"/>
    <x v="25"/>
    <x v="2"/>
    <x v="9"/>
    <x v="1"/>
  </r>
  <r>
    <x v="1659"/>
    <x v="2"/>
    <x v="12"/>
    <n v="93.3"/>
    <n v="373.2"/>
    <x v="61"/>
    <d v="2025-03-06T00:00:00"/>
    <x v="2"/>
    <x v="0"/>
    <x v="2"/>
    <x v="0"/>
    <x v="6"/>
    <x v="2"/>
    <x v="9"/>
    <x v="2"/>
  </r>
  <r>
    <x v="1660"/>
    <x v="16"/>
    <x v="0"/>
    <n v="31.4"/>
    <n v="31.4"/>
    <x v="61"/>
    <d v="2025-03-08T00:00:00"/>
    <x v="2"/>
    <x v="2"/>
    <x v="2"/>
    <x v="0"/>
    <x v="6"/>
    <x v="0"/>
    <x v="9"/>
    <x v="2"/>
  </r>
  <r>
    <x v="1661"/>
    <x v="1"/>
    <x v="0"/>
    <n v="85.9"/>
    <n v="85.9"/>
    <x v="61"/>
    <d v="2025-03-06T00:00:00"/>
    <x v="1"/>
    <x v="1"/>
    <x v="0"/>
    <x v="0"/>
    <x v="6"/>
    <x v="2"/>
    <x v="9"/>
    <x v="1"/>
  </r>
  <r>
    <x v="1662"/>
    <x v="6"/>
    <x v="8"/>
    <n v="41.7"/>
    <n v="333.6"/>
    <x v="61"/>
    <d v="2025-03-11T00:00:00"/>
    <x v="1"/>
    <x v="0"/>
    <x v="2"/>
    <x v="0"/>
    <x v="7"/>
    <x v="9"/>
    <x v="9"/>
    <x v="1"/>
  </r>
  <r>
    <x v="1663"/>
    <x v="8"/>
    <x v="12"/>
    <n v="31.5"/>
    <n v="126"/>
    <x v="61"/>
    <d v="2025-03-04T00:00:00"/>
    <x v="2"/>
    <x v="0"/>
    <x v="0"/>
    <x v="0"/>
    <x v="7"/>
    <x v="3"/>
    <x v="9"/>
    <x v="2"/>
  </r>
  <r>
    <x v="1664"/>
    <x v="8"/>
    <x v="1"/>
    <n v="36.299999999999997"/>
    <n v="72.599999999999994"/>
    <x v="61"/>
    <d v="2025-03-04T00:00:00"/>
    <x v="2"/>
    <x v="0"/>
    <x v="4"/>
    <x v="0"/>
    <x v="8"/>
    <x v="3"/>
    <x v="9"/>
    <x v="2"/>
  </r>
  <r>
    <x v="1665"/>
    <x v="8"/>
    <x v="2"/>
    <n v="33.4"/>
    <n v="100.19999999999999"/>
    <x v="61"/>
    <d v="2025-03-04T00:00:00"/>
    <x v="2"/>
    <x v="3"/>
    <x v="0"/>
    <x v="0"/>
    <x v="17"/>
    <x v="3"/>
    <x v="9"/>
    <x v="2"/>
  </r>
  <r>
    <x v="1666"/>
    <x v="2"/>
    <x v="2"/>
    <n v="65.2"/>
    <n v="195.60000000000002"/>
    <x v="61"/>
    <d v="2025-03-04T00:00:00"/>
    <x v="2"/>
    <x v="2"/>
    <x v="2"/>
    <x v="0"/>
    <x v="26"/>
    <x v="3"/>
    <x v="9"/>
    <x v="2"/>
  </r>
  <r>
    <x v="1667"/>
    <x v="8"/>
    <x v="11"/>
    <n v="65.5"/>
    <n v="589.5"/>
    <x v="61"/>
    <d v="2025-03-06T00:00:00"/>
    <x v="2"/>
    <x v="0"/>
    <x v="2"/>
    <x v="0"/>
    <x v="9"/>
    <x v="2"/>
    <x v="9"/>
    <x v="2"/>
  </r>
  <r>
    <x v="1668"/>
    <x v="6"/>
    <x v="2"/>
    <n v="52.8"/>
    <n v="158.39999999999998"/>
    <x v="61"/>
    <d v="2025-03-06T00:00:00"/>
    <x v="1"/>
    <x v="2"/>
    <x v="0"/>
    <x v="0"/>
    <x v="9"/>
    <x v="2"/>
    <x v="9"/>
    <x v="1"/>
  </r>
  <r>
    <x v="1669"/>
    <x v="9"/>
    <x v="9"/>
    <n v="24"/>
    <n v="120"/>
    <x v="61"/>
    <d v="2025-03-07T00:00:00"/>
    <x v="1"/>
    <x v="0"/>
    <x v="1"/>
    <x v="0"/>
    <x v="11"/>
    <x v="5"/>
    <x v="9"/>
    <x v="1"/>
  </r>
  <r>
    <x v="1670"/>
    <x v="3"/>
    <x v="2"/>
    <n v="51.2"/>
    <n v="153.60000000000002"/>
    <x v="61"/>
    <d v="2025-03-04T00:00:00"/>
    <x v="2"/>
    <x v="0"/>
    <x v="0"/>
    <x v="0"/>
    <x v="32"/>
    <x v="3"/>
    <x v="9"/>
    <x v="2"/>
  </r>
  <r>
    <x v="1671"/>
    <x v="5"/>
    <x v="2"/>
    <n v="28.3"/>
    <n v="84.9"/>
    <x v="61"/>
    <d v="2025-03-05T00:00:00"/>
    <x v="1"/>
    <x v="4"/>
    <x v="0"/>
    <x v="0"/>
    <x v="19"/>
    <x v="1"/>
    <x v="9"/>
    <x v="1"/>
  </r>
  <r>
    <x v="1672"/>
    <x v="6"/>
    <x v="2"/>
    <n v="42.3"/>
    <n v="126.89999999999999"/>
    <x v="61"/>
    <d v="2025-03-03T00:00:00"/>
    <x v="2"/>
    <x v="2"/>
    <x v="1"/>
    <x v="0"/>
    <x v="19"/>
    <x v="7"/>
    <x v="9"/>
    <x v="2"/>
  </r>
  <r>
    <x v="1673"/>
    <x v="2"/>
    <x v="8"/>
    <n v="163.30000000000001"/>
    <n v="1306.4000000000001"/>
    <x v="62"/>
    <d v="2025-03-05T00:00:00"/>
    <x v="2"/>
    <x v="1"/>
    <x v="0"/>
    <x v="0"/>
    <x v="13"/>
    <x v="3"/>
    <x v="9"/>
    <x v="2"/>
  </r>
  <r>
    <x v="1674"/>
    <x v="6"/>
    <x v="3"/>
    <n v="47.3"/>
    <n v="331.09999999999997"/>
    <x v="62"/>
    <d v="2025-03-07T00:00:00"/>
    <x v="2"/>
    <x v="4"/>
    <x v="1"/>
    <x v="0"/>
    <x v="21"/>
    <x v="2"/>
    <x v="9"/>
    <x v="2"/>
  </r>
  <r>
    <x v="1675"/>
    <x v="8"/>
    <x v="27"/>
    <n v="27.3"/>
    <n v="436.8"/>
    <x v="62"/>
    <d v="2025-03-05T00:00:00"/>
    <x v="2"/>
    <x v="2"/>
    <x v="0"/>
    <x v="0"/>
    <x v="21"/>
    <x v="3"/>
    <x v="9"/>
    <x v="2"/>
  </r>
  <r>
    <x v="1676"/>
    <x v="10"/>
    <x v="13"/>
    <n v="34.9"/>
    <n v="209.39999999999998"/>
    <x v="62"/>
    <d v="2025-03-15T00:00:00"/>
    <x v="2"/>
    <x v="0"/>
    <x v="0"/>
    <x v="0"/>
    <x v="21"/>
    <x v="11"/>
    <x v="9"/>
    <x v="2"/>
  </r>
  <r>
    <x v="1677"/>
    <x v="6"/>
    <x v="1"/>
    <n v="53.9"/>
    <n v="107.8"/>
    <x v="62"/>
    <d v="2025-03-07T00:00:00"/>
    <x v="3"/>
    <x v="0"/>
    <x v="4"/>
    <x v="0"/>
    <x v="1"/>
    <x v="2"/>
    <x v="9"/>
    <x v="3"/>
  </r>
  <r>
    <x v="1678"/>
    <x v="2"/>
    <x v="1"/>
    <n v="87.2"/>
    <n v="174.4"/>
    <x v="62"/>
    <d v="2025-03-05T00:00:00"/>
    <x v="2"/>
    <x v="0"/>
    <x v="1"/>
    <x v="0"/>
    <x v="1"/>
    <x v="3"/>
    <x v="9"/>
    <x v="2"/>
  </r>
  <r>
    <x v="1679"/>
    <x v="15"/>
    <x v="0"/>
    <n v="58.8"/>
    <n v="58.8"/>
    <x v="62"/>
    <d v="2025-03-06T00:00:00"/>
    <x v="2"/>
    <x v="2"/>
    <x v="0"/>
    <x v="0"/>
    <x v="44"/>
    <x v="1"/>
    <x v="9"/>
    <x v="2"/>
  </r>
  <r>
    <x v="1680"/>
    <x v="2"/>
    <x v="3"/>
    <n v="125.5"/>
    <n v="878.5"/>
    <x v="62"/>
    <d v="2025-03-05T00:00:00"/>
    <x v="1"/>
    <x v="2"/>
    <x v="4"/>
    <x v="0"/>
    <x v="22"/>
    <x v="3"/>
    <x v="9"/>
    <x v="1"/>
  </r>
  <r>
    <x v="1681"/>
    <x v="1"/>
    <x v="12"/>
    <n v="124.6"/>
    <n v="498.4"/>
    <x v="62"/>
    <d v="2025-03-06T00:00:00"/>
    <x v="2"/>
    <x v="0"/>
    <x v="1"/>
    <x v="0"/>
    <x v="22"/>
    <x v="1"/>
    <x v="9"/>
    <x v="2"/>
  </r>
  <r>
    <x v="1682"/>
    <x v="1"/>
    <x v="3"/>
    <n v="39.9"/>
    <n v="279.3"/>
    <x v="62"/>
    <d v="2025-03-05T00:00:00"/>
    <x v="1"/>
    <x v="2"/>
    <x v="1"/>
    <x v="0"/>
    <x v="3"/>
    <x v="3"/>
    <x v="9"/>
    <x v="1"/>
  </r>
  <r>
    <x v="1683"/>
    <x v="6"/>
    <x v="0"/>
    <n v="94.6"/>
    <n v="94.6"/>
    <x v="62"/>
    <d v="2025-03-18T00:00:00"/>
    <x v="2"/>
    <x v="0"/>
    <x v="1"/>
    <x v="0"/>
    <x v="3"/>
    <x v="12"/>
    <x v="9"/>
    <x v="2"/>
  </r>
  <r>
    <x v="1684"/>
    <x v="2"/>
    <x v="1"/>
    <n v="149.6"/>
    <n v="299.2"/>
    <x v="62"/>
    <d v="2025-03-05T00:00:00"/>
    <x v="2"/>
    <x v="0"/>
    <x v="0"/>
    <x v="0"/>
    <x v="3"/>
    <x v="3"/>
    <x v="9"/>
    <x v="2"/>
  </r>
  <r>
    <x v="1685"/>
    <x v="8"/>
    <x v="0"/>
    <n v="52.2"/>
    <n v="52.2"/>
    <x v="62"/>
    <d v="2025-03-05T00:00:00"/>
    <x v="0"/>
    <x v="1"/>
    <x v="0"/>
    <x v="0"/>
    <x v="3"/>
    <x v="3"/>
    <x v="9"/>
    <x v="0"/>
  </r>
  <r>
    <x v="1686"/>
    <x v="6"/>
    <x v="1"/>
    <n v="96.5"/>
    <n v="193"/>
    <x v="62"/>
    <d v="2025-03-05T00:00:00"/>
    <x v="2"/>
    <x v="1"/>
    <x v="1"/>
    <x v="0"/>
    <x v="3"/>
    <x v="3"/>
    <x v="9"/>
    <x v="2"/>
  </r>
  <r>
    <x v="1687"/>
    <x v="8"/>
    <x v="1"/>
    <n v="79.8"/>
    <n v="159.6"/>
    <x v="62"/>
    <d v="2025-03-06T00:00:00"/>
    <x v="2"/>
    <x v="0"/>
    <x v="1"/>
    <x v="0"/>
    <x v="3"/>
    <x v="1"/>
    <x v="9"/>
    <x v="2"/>
  </r>
  <r>
    <x v="1688"/>
    <x v="8"/>
    <x v="2"/>
    <n v="35.6"/>
    <n v="106.80000000000001"/>
    <x v="62"/>
    <d v="2025-03-05T00:00:00"/>
    <x v="2"/>
    <x v="2"/>
    <x v="0"/>
    <x v="0"/>
    <x v="3"/>
    <x v="3"/>
    <x v="9"/>
    <x v="2"/>
  </r>
  <r>
    <x v="1689"/>
    <x v="16"/>
    <x v="0"/>
    <n v="50.2"/>
    <n v="50.2"/>
    <x v="62"/>
    <d v="2025-03-05T00:00:00"/>
    <x v="2"/>
    <x v="1"/>
    <x v="2"/>
    <x v="0"/>
    <x v="3"/>
    <x v="3"/>
    <x v="9"/>
    <x v="2"/>
  </r>
  <r>
    <x v="1690"/>
    <x v="1"/>
    <x v="2"/>
    <n v="55.3"/>
    <n v="165.89999999999998"/>
    <x v="62"/>
    <d v="2025-03-07T00:00:00"/>
    <x v="2"/>
    <x v="0"/>
    <x v="4"/>
    <x v="0"/>
    <x v="40"/>
    <x v="2"/>
    <x v="9"/>
    <x v="2"/>
  </r>
  <r>
    <x v="1691"/>
    <x v="6"/>
    <x v="3"/>
    <n v="104.5"/>
    <n v="731.5"/>
    <x v="62"/>
    <d v="2025-03-08T00:00:00"/>
    <x v="2"/>
    <x v="1"/>
    <x v="0"/>
    <x v="0"/>
    <x v="7"/>
    <x v="5"/>
    <x v="9"/>
    <x v="2"/>
  </r>
  <r>
    <x v="1692"/>
    <x v="6"/>
    <x v="12"/>
    <n v="66.5"/>
    <n v="266"/>
    <x v="62"/>
    <d v="2025-03-06T00:00:00"/>
    <x v="1"/>
    <x v="1"/>
    <x v="0"/>
    <x v="0"/>
    <x v="7"/>
    <x v="1"/>
    <x v="9"/>
    <x v="1"/>
  </r>
  <r>
    <x v="1693"/>
    <x v="10"/>
    <x v="8"/>
    <n v="38.299999999999997"/>
    <n v="306.39999999999998"/>
    <x v="62"/>
    <d v="2025-03-05T00:00:00"/>
    <x v="2"/>
    <x v="0"/>
    <x v="0"/>
    <x v="0"/>
    <x v="7"/>
    <x v="3"/>
    <x v="9"/>
    <x v="2"/>
  </r>
  <r>
    <x v="1694"/>
    <x v="6"/>
    <x v="2"/>
    <n v="63.8"/>
    <n v="191.39999999999998"/>
    <x v="62"/>
    <d v="2025-03-07T00:00:00"/>
    <x v="2"/>
    <x v="1"/>
    <x v="0"/>
    <x v="0"/>
    <x v="8"/>
    <x v="2"/>
    <x v="9"/>
    <x v="2"/>
  </r>
  <r>
    <x v="1695"/>
    <x v="15"/>
    <x v="0"/>
    <n v="21.4"/>
    <n v="21.4"/>
    <x v="62"/>
    <d v="2025-03-04T00:00:00"/>
    <x v="1"/>
    <x v="4"/>
    <x v="0"/>
    <x v="0"/>
    <x v="8"/>
    <x v="7"/>
    <x v="9"/>
    <x v="1"/>
  </r>
  <r>
    <x v="1696"/>
    <x v="8"/>
    <x v="12"/>
    <n v="44.1"/>
    <n v="176.4"/>
    <x v="62"/>
    <d v="2025-03-06T00:00:00"/>
    <x v="2"/>
    <x v="2"/>
    <x v="0"/>
    <x v="0"/>
    <x v="8"/>
    <x v="1"/>
    <x v="9"/>
    <x v="2"/>
  </r>
  <r>
    <x v="1697"/>
    <x v="5"/>
    <x v="8"/>
    <n v="57.6"/>
    <n v="460.8"/>
    <x v="62"/>
    <d v="2025-03-06T00:00:00"/>
    <x v="1"/>
    <x v="1"/>
    <x v="2"/>
    <x v="0"/>
    <x v="8"/>
    <x v="1"/>
    <x v="9"/>
    <x v="1"/>
  </r>
  <r>
    <x v="1698"/>
    <x v="9"/>
    <x v="1"/>
    <n v="20.3"/>
    <n v="40.6"/>
    <x v="62"/>
    <d v="2025-03-10T00:00:00"/>
    <x v="2"/>
    <x v="3"/>
    <x v="0"/>
    <x v="0"/>
    <x v="8"/>
    <x v="4"/>
    <x v="9"/>
    <x v="2"/>
  </r>
  <r>
    <x v="1699"/>
    <x v="8"/>
    <x v="0"/>
    <n v="22.9"/>
    <n v="22.9"/>
    <x v="62"/>
    <d v="2025-03-06T00:00:00"/>
    <x v="2"/>
    <x v="2"/>
    <x v="2"/>
    <x v="0"/>
    <x v="8"/>
    <x v="1"/>
    <x v="9"/>
    <x v="2"/>
  </r>
  <r>
    <x v="1700"/>
    <x v="6"/>
    <x v="12"/>
    <n v="105.9"/>
    <n v="423.6"/>
    <x v="62"/>
    <d v="2025-03-05T00:00:00"/>
    <x v="2"/>
    <x v="1"/>
    <x v="2"/>
    <x v="0"/>
    <x v="17"/>
    <x v="3"/>
    <x v="9"/>
    <x v="2"/>
  </r>
  <r>
    <x v="1701"/>
    <x v="1"/>
    <x v="11"/>
    <n v="37.4"/>
    <n v="336.59999999999997"/>
    <x v="62"/>
    <d v="2025-03-08T00:00:00"/>
    <x v="1"/>
    <x v="1"/>
    <x v="0"/>
    <x v="0"/>
    <x v="11"/>
    <x v="5"/>
    <x v="9"/>
    <x v="1"/>
  </r>
  <r>
    <x v="1702"/>
    <x v="18"/>
    <x v="1"/>
    <n v="79"/>
    <n v="158"/>
    <x v="62"/>
    <d v="2025-03-05T00:00:00"/>
    <x v="1"/>
    <x v="2"/>
    <x v="0"/>
    <x v="0"/>
    <x v="28"/>
    <x v="3"/>
    <x v="9"/>
    <x v="1"/>
  </r>
  <r>
    <x v="1703"/>
    <x v="0"/>
    <x v="2"/>
    <n v="19.3"/>
    <n v="57.900000000000006"/>
    <x v="62"/>
    <d v="2025-03-05T00:00:00"/>
    <x v="2"/>
    <x v="4"/>
    <x v="0"/>
    <x v="0"/>
    <x v="21"/>
    <x v="3"/>
    <x v="9"/>
    <x v="2"/>
  </r>
  <r>
    <x v="1704"/>
    <x v="0"/>
    <x v="0"/>
    <n v="24"/>
    <n v="24"/>
    <x v="62"/>
    <d v="2025-03-05T00:00:00"/>
    <x v="2"/>
    <x v="1"/>
    <x v="0"/>
    <x v="0"/>
    <x v="1"/>
    <x v="3"/>
    <x v="9"/>
    <x v="2"/>
  </r>
  <r>
    <x v="1705"/>
    <x v="6"/>
    <x v="9"/>
    <n v="71.3"/>
    <n v="356.5"/>
    <x v="62"/>
    <d v="2025-03-07T00:00:00"/>
    <x v="2"/>
    <x v="2"/>
    <x v="0"/>
    <x v="0"/>
    <x v="2"/>
    <x v="2"/>
    <x v="9"/>
    <x v="2"/>
  </r>
  <r>
    <x v="1706"/>
    <x v="5"/>
    <x v="1"/>
    <n v="166.2"/>
    <n v="332.4"/>
    <x v="62"/>
    <d v="2025-03-05T00:00:00"/>
    <x v="1"/>
    <x v="0"/>
    <x v="2"/>
    <x v="0"/>
    <x v="50"/>
    <x v="3"/>
    <x v="9"/>
    <x v="1"/>
  </r>
  <r>
    <x v="1707"/>
    <x v="6"/>
    <x v="0"/>
    <n v="81"/>
    <n v="81"/>
    <x v="62"/>
    <d v="2025-03-05T00:00:00"/>
    <x v="2"/>
    <x v="2"/>
    <x v="1"/>
    <x v="0"/>
    <x v="3"/>
    <x v="3"/>
    <x v="9"/>
    <x v="2"/>
  </r>
  <r>
    <x v="1708"/>
    <x v="10"/>
    <x v="13"/>
    <n v="38.5"/>
    <n v="231"/>
    <x v="62"/>
    <d v="2025-03-08T00:00:00"/>
    <x v="2"/>
    <x v="0"/>
    <x v="0"/>
    <x v="0"/>
    <x v="3"/>
    <x v="5"/>
    <x v="9"/>
    <x v="2"/>
  </r>
  <r>
    <x v="1709"/>
    <x v="6"/>
    <x v="0"/>
    <n v="86.1"/>
    <n v="86.1"/>
    <x v="62"/>
    <d v="2025-03-06T00:00:00"/>
    <x v="2"/>
    <x v="3"/>
    <x v="0"/>
    <x v="0"/>
    <x v="3"/>
    <x v="1"/>
    <x v="9"/>
    <x v="2"/>
  </r>
  <r>
    <x v="1710"/>
    <x v="2"/>
    <x v="9"/>
    <n v="51"/>
    <n v="255"/>
    <x v="62"/>
    <d v="2025-03-05T00:00:00"/>
    <x v="1"/>
    <x v="0"/>
    <x v="1"/>
    <x v="0"/>
    <x v="3"/>
    <x v="3"/>
    <x v="9"/>
    <x v="1"/>
  </r>
  <r>
    <x v="1711"/>
    <x v="3"/>
    <x v="9"/>
    <n v="115.4"/>
    <n v="577"/>
    <x v="62"/>
    <d v="2025-03-05T00:00:00"/>
    <x v="1"/>
    <x v="0"/>
    <x v="0"/>
    <x v="0"/>
    <x v="3"/>
    <x v="3"/>
    <x v="9"/>
    <x v="1"/>
  </r>
  <r>
    <x v="1712"/>
    <x v="6"/>
    <x v="12"/>
    <n v="176.5"/>
    <n v="706"/>
    <x v="62"/>
    <d v="2025-03-05T00:00:00"/>
    <x v="2"/>
    <x v="2"/>
    <x v="2"/>
    <x v="0"/>
    <x v="3"/>
    <x v="3"/>
    <x v="9"/>
    <x v="2"/>
  </r>
  <r>
    <x v="1713"/>
    <x v="7"/>
    <x v="2"/>
    <n v="48.9"/>
    <n v="146.69999999999999"/>
    <x v="62"/>
    <d v="2025-03-05T00:00:00"/>
    <x v="1"/>
    <x v="4"/>
    <x v="0"/>
    <x v="0"/>
    <x v="3"/>
    <x v="3"/>
    <x v="9"/>
    <x v="1"/>
  </r>
  <r>
    <x v="1714"/>
    <x v="8"/>
    <x v="2"/>
    <n v="18.100000000000001"/>
    <n v="54.300000000000004"/>
    <x v="62"/>
    <d v="2025-03-11T00:00:00"/>
    <x v="2"/>
    <x v="1"/>
    <x v="2"/>
    <x v="0"/>
    <x v="29"/>
    <x v="6"/>
    <x v="9"/>
    <x v="2"/>
  </r>
  <r>
    <x v="1715"/>
    <x v="2"/>
    <x v="1"/>
    <n v="118.5"/>
    <n v="237"/>
    <x v="62"/>
    <d v="2025-03-07T00:00:00"/>
    <x v="1"/>
    <x v="1"/>
    <x v="2"/>
    <x v="0"/>
    <x v="16"/>
    <x v="2"/>
    <x v="9"/>
    <x v="1"/>
  </r>
  <r>
    <x v="1716"/>
    <x v="15"/>
    <x v="3"/>
    <n v="59.1"/>
    <n v="413.7"/>
    <x v="62"/>
    <d v="2025-03-05T00:00:00"/>
    <x v="2"/>
    <x v="3"/>
    <x v="0"/>
    <x v="0"/>
    <x v="25"/>
    <x v="3"/>
    <x v="9"/>
    <x v="2"/>
  </r>
  <r>
    <x v="1717"/>
    <x v="4"/>
    <x v="0"/>
    <n v="21.2"/>
    <n v="21.2"/>
    <x v="62"/>
    <d v="2025-03-05T00:00:00"/>
    <x v="2"/>
    <x v="0"/>
    <x v="1"/>
    <x v="0"/>
    <x v="6"/>
    <x v="3"/>
    <x v="9"/>
    <x v="2"/>
  </r>
  <r>
    <x v="1718"/>
    <x v="6"/>
    <x v="1"/>
    <n v="68.8"/>
    <n v="137.6"/>
    <x v="62"/>
    <d v="2025-03-09T00:00:00"/>
    <x v="2"/>
    <x v="3"/>
    <x v="2"/>
    <x v="0"/>
    <x v="6"/>
    <x v="0"/>
    <x v="9"/>
    <x v="2"/>
  </r>
  <r>
    <x v="1719"/>
    <x v="6"/>
    <x v="1"/>
    <n v="65.400000000000006"/>
    <n v="130.80000000000001"/>
    <x v="62"/>
    <d v="2025-03-08T00:00:00"/>
    <x v="2"/>
    <x v="0"/>
    <x v="0"/>
    <x v="0"/>
    <x v="6"/>
    <x v="5"/>
    <x v="9"/>
    <x v="2"/>
  </r>
  <r>
    <x v="1720"/>
    <x v="12"/>
    <x v="9"/>
    <n v="66.3"/>
    <n v="331.5"/>
    <x v="63"/>
    <d v="2025-03-08T00:00:00"/>
    <x v="2"/>
    <x v="4"/>
    <x v="0"/>
    <x v="0"/>
    <x v="6"/>
    <x v="2"/>
    <x v="9"/>
    <x v="2"/>
  </r>
  <r>
    <x v="1721"/>
    <x v="6"/>
    <x v="2"/>
    <n v="97.5"/>
    <n v="292.5"/>
    <x v="63"/>
    <d v="2025-03-05T00:00:00"/>
    <x v="1"/>
    <x v="3"/>
    <x v="0"/>
    <x v="0"/>
    <x v="8"/>
    <x v="7"/>
    <x v="9"/>
    <x v="1"/>
  </r>
  <r>
    <x v="1722"/>
    <x v="1"/>
    <x v="1"/>
    <n v="44"/>
    <n v="88"/>
    <x v="63"/>
    <d v="2025-03-08T00:00:00"/>
    <x v="2"/>
    <x v="1"/>
    <x v="2"/>
    <x v="0"/>
    <x v="8"/>
    <x v="2"/>
    <x v="9"/>
    <x v="2"/>
  </r>
  <r>
    <x v="1723"/>
    <x v="0"/>
    <x v="0"/>
    <n v="21.9"/>
    <n v="21.9"/>
    <x v="63"/>
    <d v="2025-03-06T00:00:00"/>
    <x v="1"/>
    <x v="0"/>
    <x v="0"/>
    <x v="0"/>
    <x v="8"/>
    <x v="3"/>
    <x v="9"/>
    <x v="1"/>
  </r>
  <r>
    <x v="1724"/>
    <x v="4"/>
    <x v="3"/>
    <n v="21.5"/>
    <n v="150.5"/>
    <x v="63"/>
    <d v="2025-03-07T00:00:00"/>
    <x v="2"/>
    <x v="1"/>
    <x v="2"/>
    <x v="0"/>
    <x v="9"/>
    <x v="1"/>
    <x v="9"/>
    <x v="2"/>
  </r>
  <r>
    <x v="1725"/>
    <x v="12"/>
    <x v="13"/>
    <n v="133"/>
    <n v="798"/>
    <x v="63"/>
    <d v="2025-03-06T00:00:00"/>
    <x v="3"/>
    <x v="0"/>
    <x v="2"/>
    <x v="0"/>
    <x v="10"/>
    <x v="3"/>
    <x v="9"/>
    <x v="3"/>
  </r>
  <r>
    <x v="1726"/>
    <x v="8"/>
    <x v="1"/>
    <n v="47.7"/>
    <n v="95.4"/>
    <x v="63"/>
    <d v="2025-03-09T00:00:00"/>
    <x v="1"/>
    <x v="0"/>
    <x v="2"/>
    <x v="0"/>
    <x v="10"/>
    <x v="5"/>
    <x v="9"/>
    <x v="1"/>
  </r>
  <r>
    <x v="1727"/>
    <x v="16"/>
    <x v="2"/>
    <n v="58.1"/>
    <n v="174.3"/>
    <x v="63"/>
    <d v="2025-03-06T00:00:00"/>
    <x v="2"/>
    <x v="0"/>
    <x v="0"/>
    <x v="0"/>
    <x v="11"/>
    <x v="3"/>
    <x v="9"/>
    <x v="2"/>
  </r>
  <r>
    <x v="1728"/>
    <x v="12"/>
    <x v="12"/>
    <n v="66.599999999999994"/>
    <n v="266.39999999999998"/>
    <x v="63"/>
    <d v="2025-03-06T00:00:00"/>
    <x v="0"/>
    <x v="0"/>
    <x v="0"/>
    <x v="0"/>
    <x v="11"/>
    <x v="3"/>
    <x v="9"/>
    <x v="0"/>
  </r>
  <r>
    <x v="1729"/>
    <x v="9"/>
    <x v="0"/>
    <n v="24.1"/>
    <n v="24.1"/>
    <x v="63"/>
    <d v="2025-03-08T00:00:00"/>
    <x v="1"/>
    <x v="2"/>
    <x v="1"/>
    <x v="0"/>
    <x v="19"/>
    <x v="2"/>
    <x v="9"/>
    <x v="1"/>
  </r>
  <r>
    <x v="1730"/>
    <x v="10"/>
    <x v="9"/>
    <n v="51.5"/>
    <n v="257.5"/>
    <x v="63"/>
    <d v="2025-03-10T00:00:00"/>
    <x v="2"/>
    <x v="0"/>
    <x v="0"/>
    <x v="0"/>
    <x v="13"/>
    <x v="0"/>
    <x v="9"/>
    <x v="2"/>
  </r>
  <r>
    <x v="1731"/>
    <x v="0"/>
    <x v="5"/>
    <n v="25.8"/>
    <n v="283.8"/>
    <x v="63"/>
    <d v="2025-03-09T00:00:00"/>
    <x v="2"/>
    <x v="3"/>
    <x v="4"/>
    <x v="0"/>
    <x v="21"/>
    <x v="5"/>
    <x v="9"/>
    <x v="2"/>
  </r>
  <r>
    <x v="1732"/>
    <x v="9"/>
    <x v="12"/>
    <n v="47.7"/>
    <n v="190.8"/>
    <x v="63"/>
    <d v="2025-03-05T00:00:00"/>
    <x v="2"/>
    <x v="0"/>
    <x v="1"/>
    <x v="0"/>
    <x v="21"/>
    <x v="7"/>
    <x v="9"/>
    <x v="2"/>
  </r>
  <r>
    <x v="1733"/>
    <x v="7"/>
    <x v="9"/>
    <n v="73.599999999999994"/>
    <n v="368"/>
    <x v="63"/>
    <d v="2025-03-09T00:00:00"/>
    <x v="1"/>
    <x v="1"/>
    <x v="0"/>
    <x v="0"/>
    <x v="21"/>
    <x v="5"/>
    <x v="9"/>
    <x v="1"/>
  </r>
  <r>
    <x v="1734"/>
    <x v="5"/>
    <x v="3"/>
    <n v="91.2"/>
    <n v="638.4"/>
    <x v="63"/>
    <d v="2025-03-06T00:00:00"/>
    <x v="1"/>
    <x v="1"/>
    <x v="2"/>
    <x v="0"/>
    <x v="21"/>
    <x v="3"/>
    <x v="9"/>
    <x v="1"/>
  </r>
  <r>
    <x v="1735"/>
    <x v="1"/>
    <x v="8"/>
    <n v="36.200000000000003"/>
    <n v="289.60000000000002"/>
    <x v="63"/>
    <d v="2025-03-05T00:00:00"/>
    <x v="1"/>
    <x v="2"/>
    <x v="2"/>
    <x v="0"/>
    <x v="1"/>
    <x v="7"/>
    <x v="9"/>
    <x v="1"/>
  </r>
  <r>
    <x v="1736"/>
    <x v="9"/>
    <x v="8"/>
    <n v="98"/>
    <n v="784"/>
    <x v="63"/>
    <d v="2025-03-09T00:00:00"/>
    <x v="2"/>
    <x v="2"/>
    <x v="0"/>
    <x v="0"/>
    <x v="2"/>
    <x v="5"/>
    <x v="9"/>
    <x v="2"/>
  </r>
  <r>
    <x v="1737"/>
    <x v="1"/>
    <x v="8"/>
    <n v="43.6"/>
    <n v="348.8"/>
    <x v="63"/>
    <d v="2025-03-06T00:00:00"/>
    <x v="2"/>
    <x v="2"/>
    <x v="0"/>
    <x v="0"/>
    <x v="22"/>
    <x v="3"/>
    <x v="9"/>
    <x v="2"/>
  </r>
  <r>
    <x v="1738"/>
    <x v="8"/>
    <x v="7"/>
    <n v="37.799999999999997"/>
    <n v="378"/>
    <x v="63"/>
    <d v="2025-03-05T00:00:00"/>
    <x v="3"/>
    <x v="0"/>
    <x v="0"/>
    <x v="0"/>
    <x v="50"/>
    <x v="7"/>
    <x v="9"/>
    <x v="3"/>
  </r>
  <r>
    <x v="1739"/>
    <x v="17"/>
    <x v="9"/>
    <n v="63.7"/>
    <n v="318.5"/>
    <x v="63"/>
    <d v="2025-03-08T00:00:00"/>
    <x v="2"/>
    <x v="2"/>
    <x v="1"/>
    <x v="0"/>
    <x v="3"/>
    <x v="2"/>
    <x v="9"/>
    <x v="2"/>
  </r>
  <r>
    <x v="1740"/>
    <x v="5"/>
    <x v="11"/>
    <n v="62.9"/>
    <n v="566.1"/>
    <x v="63"/>
    <d v="2025-03-10T00:00:00"/>
    <x v="1"/>
    <x v="3"/>
    <x v="2"/>
    <x v="0"/>
    <x v="3"/>
    <x v="0"/>
    <x v="9"/>
    <x v="1"/>
  </r>
  <r>
    <x v="1741"/>
    <x v="6"/>
    <x v="3"/>
    <n v="61.7"/>
    <n v="431.90000000000003"/>
    <x v="63"/>
    <d v="2025-03-08T00:00:00"/>
    <x v="2"/>
    <x v="2"/>
    <x v="2"/>
    <x v="0"/>
    <x v="3"/>
    <x v="2"/>
    <x v="9"/>
    <x v="2"/>
  </r>
  <r>
    <x v="1742"/>
    <x v="18"/>
    <x v="21"/>
    <n v="36.5"/>
    <n v="511"/>
    <x v="63"/>
    <d v="2025-03-06T00:00:00"/>
    <x v="1"/>
    <x v="0"/>
    <x v="2"/>
    <x v="0"/>
    <x v="3"/>
    <x v="3"/>
    <x v="9"/>
    <x v="1"/>
  </r>
  <r>
    <x v="1743"/>
    <x v="11"/>
    <x v="2"/>
    <n v="98.6"/>
    <n v="295.79999999999995"/>
    <x v="63"/>
    <d v="2025-03-08T00:00:00"/>
    <x v="3"/>
    <x v="0"/>
    <x v="4"/>
    <x v="0"/>
    <x v="3"/>
    <x v="2"/>
    <x v="9"/>
    <x v="3"/>
  </r>
  <r>
    <x v="1744"/>
    <x v="8"/>
    <x v="1"/>
    <n v="19.2"/>
    <n v="38.4"/>
    <x v="63"/>
    <d v="2025-03-15T00:00:00"/>
    <x v="1"/>
    <x v="0"/>
    <x v="0"/>
    <x v="0"/>
    <x v="3"/>
    <x v="14"/>
    <x v="9"/>
    <x v="1"/>
  </r>
  <r>
    <x v="1745"/>
    <x v="3"/>
    <x v="13"/>
    <n v="55.6"/>
    <n v="333.6"/>
    <x v="63"/>
    <d v="2025-03-09T00:00:00"/>
    <x v="2"/>
    <x v="0"/>
    <x v="2"/>
    <x v="0"/>
    <x v="3"/>
    <x v="5"/>
    <x v="9"/>
    <x v="2"/>
  </r>
  <r>
    <x v="1746"/>
    <x v="5"/>
    <x v="13"/>
    <n v="56.4"/>
    <n v="338.4"/>
    <x v="63"/>
    <d v="2025-03-06T00:00:00"/>
    <x v="2"/>
    <x v="1"/>
    <x v="0"/>
    <x v="0"/>
    <x v="3"/>
    <x v="3"/>
    <x v="9"/>
    <x v="2"/>
  </r>
  <r>
    <x v="1747"/>
    <x v="4"/>
    <x v="8"/>
    <n v="43.1"/>
    <n v="344.8"/>
    <x v="63"/>
    <d v="2025-03-09T00:00:00"/>
    <x v="2"/>
    <x v="4"/>
    <x v="0"/>
    <x v="0"/>
    <x v="3"/>
    <x v="5"/>
    <x v="9"/>
    <x v="2"/>
  </r>
  <r>
    <x v="1748"/>
    <x v="1"/>
    <x v="1"/>
    <n v="77.3"/>
    <n v="154.6"/>
    <x v="63"/>
    <d v="2025-03-07T00:00:00"/>
    <x v="1"/>
    <x v="0"/>
    <x v="0"/>
    <x v="0"/>
    <x v="6"/>
    <x v="1"/>
    <x v="9"/>
    <x v="1"/>
  </r>
  <r>
    <x v="1749"/>
    <x v="9"/>
    <x v="8"/>
    <n v="38.299999999999997"/>
    <n v="306.39999999999998"/>
    <x v="63"/>
    <d v="2025-03-06T00:00:00"/>
    <x v="1"/>
    <x v="0"/>
    <x v="0"/>
    <x v="0"/>
    <x v="7"/>
    <x v="3"/>
    <x v="9"/>
    <x v="1"/>
  </r>
  <r>
    <x v="1750"/>
    <x v="0"/>
    <x v="3"/>
    <n v="16.8"/>
    <n v="117.60000000000001"/>
    <x v="63"/>
    <d v="2025-03-08T00:00:00"/>
    <x v="1"/>
    <x v="2"/>
    <x v="1"/>
    <x v="0"/>
    <x v="8"/>
    <x v="2"/>
    <x v="9"/>
    <x v="1"/>
  </r>
  <r>
    <x v="1751"/>
    <x v="2"/>
    <x v="2"/>
    <n v="63.2"/>
    <n v="189.60000000000002"/>
    <x v="63"/>
    <d v="2025-03-06T00:00:00"/>
    <x v="2"/>
    <x v="0"/>
    <x v="2"/>
    <x v="0"/>
    <x v="8"/>
    <x v="3"/>
    <x v="9"/>
    <x v="2"/>
  </r>
  <r>
    <x v="1752"/>
    <x v="14"/>
    <x v="44"/>
    <n v="39.700000000000003"/>
    <n v="913.1"/>
    <x v="63"/>
    <d v="2025-03-06T00:00:00"/>
    <x v="1"/>
    <x v="0"/>
    <x v="0"/>
    <x v="0"/>
    <x v="8"/>
    <x v="3"/>
    <x v="9"/>
    <x v="1"/>
  </r>
  <r>
    <x v="1753"/>
    <x v="10"/>
    <x v="2"/>
    <n v="45.8"/>
    <n v="137.39999999999998"/>
    <x v="63"/>
    <d v="2025-03-06T00:00:00"/>
    <x v="2"/>
    <x v="1"/>
    <x v="2"/>
    <x v="0"/>
    <x v="8"/>
    <x v="3"/>
    <x v="9"/>
    <x v="2"/>
  </r>
  <r>
    <x v="1754"/>
    <x v="0"/>
    <x v="13"/>
    <n v="12.4"/>
    <n v="74.400000000000006"/>
    <x v="63"/>
    <d v="2025-03-08T00:00:00"/>
    <x v="1"/>
    <x v="0"/>
    <x v="0"/>
    <x v="0"/>
    <x v="8"/>
    <x v="2"/>
    <x v="9"/>
    <x v="1"/>
  </r>
  <r>
    <x v="1755"/>
    <x v="14"/>
    <x v="2"/>
    <n v="50.8"/>
    <n v="152.39999999999998"/>
    <x v="64"/>
    <d v="2025-03-06T00:00:00"/>
    <x v="2"/>
    <x v="4"/>
    <x v="0"/>
    <x v="0"/>
    <x v="17"/>
    <x v="7"/>
    <x v="9"/>
    <x v="2"/>
  </r>
  <r>
    <x v="1756"/>
    <x v="9"/>
    <x v="0"/>
    <n v="76"/>
    <n v="76"/>
    <x v="64"/>
    <d v="2025-03-10T00:00:00"/>
    <x v="3"/>
    <x v="2"/>
    <x v="2"/>
    <x v="0"/>
    <x v="17"/>
    <x v="5"/>
    <x v="9"/>
    <x v="3"/>
  </r>
  <r>
    <x v="1757"/>
    <x v="1"/>
    <x v="1"/>
    <n v="51.9"/>
    <n v="103.8"/>
    <x v="64"/>
    <d v="2025-03-07T00:00:00"/>
    <x v="1"/>
    <x v="1"/>
    <x v="2"/>
    <x v="0"/>
    <x v="26"/>
    <x v="3"/>
    <x v="9"/>
    <x v="1"/>
  </r>
  <r>
    <x v="1758"/>
    <x v="2"/>
    <x v="1"/>
    <n v="93.4"/>
    <n v="186.8"/>
    <x v="64"/>
    <d v="2025-03-13T00:00:00"/>
    <x v="1"/>
    <x v="0"/>
    <x v="3"/>
    <x v="0"/>
    <x v="11"/>
    <x v="6"/>
    <x v="9"/>
    <x v="1"/>
  </r>
  <r>
    <x v="1759"/>
    <x v="7"/>
    <x v="13"/>
    <n v="30.8"/>
    <n v="184.8"/>
    <x v="64"/>
    <d v="2025-03-09T00:00:00"/>
    <x v="2"/>
    <x v="1"/>
    <x v="0"/>
    <x v="0"/>
    <x v="11"/>
    <x v="2"/>
    <x v="9"/>
    <x v="2"/>
  </r>
  <r>
    <x v="1760"/>
    <x v="2"/>
    <x v="0"/>
    <n v="143.19999999999999"/>
    <n v="143.19999999999999"/>
    <x v="64"/>
    <d v="2025-03-09T00:00:00"/>
    <x v="1"/>
    <x v="2"/>
    <x v="0"/>
    <x v="0"/>
    <x v="11"/>
    <x v="2"/>
    <x v="9"/>
    <x v="1"/>
  </r>
  <r>
    <x v="1761"/>
    <x v="6"/>
    <x v="5"/>
    <n v="40.4"/>
    <n v="444.4"/>
    <x v="64"/>
    <d v="2025-03-08T00:00:00"/>
    <x v="1"/>
    <x v="2"/>
    <x v="2"/>
    <x v="0"/>
    <x v="18"/>
    <x v="1"/>
    <x v="9"/>
    <x v="1"/>
  </r>
  <r>
    <x v="1762"/>
    <x v="2"/>
    <x v="10"/>
    <n v="131.5"/>
    <n v="2498.5"/>
    <x v="64"/>
    <d v="2025-03-08T00:00:00"/>
    <x v="1"/>
    <x v="1"/>
    <x v="1"/>
    <x v="0"/>
    <x v="18"/>
    <x v="1"/>
    <x v="9"/>
    <x v="1"/>
  </r>
  <r>
    <x v="1763"/>
    <x v="18"/>
    <x v="3"/>
    <n v="61.6"/>
    <n v="431.2"/>
    <x v="64"/>
    <d v="2025-03-07T00:00:00"/>
    <x v="1"/>
    <x v="2"/>
    <x v="0"/>
    <x v="0"/>
    <x v="21"/>
    <x v="3"/>
    <x v="9"/>
    <x v="1"/>
  </r>
  <r>
    <x v="1764"/>
    <x v="9"/>
    <x v="9"/>
    <n v="32.700000000000003"/>
    <n v="163.5"/>
    <x v="64"/>
    <d v="2025-03-08T00:00:00"/>
    <x v="1"/>
    <x v="2"/>
    <x v="0"/>
    <x v="0"/>
    <x v="1"/>
    <x v="1"/>
    <x v="9"/>
    <x v="1"/>
  </r>
  <r>
    <x v="1765"/>
    <x v="0"/>
    <x v="7"/>
    <n v="13.7"/>
    <n v="137"/>
    <x v="64"/>
    <d v="2025-03-07T00:00:00"/>
    <x v="1"/>
    <x v="0"/>
    <x v="2"/>
    <x v="0"/>
    <x v="3"/>
    <x v="3"/>
    <x v="9"/>
    <x v="1"/>
  </r>
  <r>
    <x v="1766"/>
    <x v="0"/>
    <x v="12"/>
    <n v="32.1"/>
    <n v="128.4"/>
    <x v="64"/>
    <d v="2025-03-07T00:00:00"/>
    <x v="1"/>
    <x v="4"/>
    <x v="1"/>
    <x v="0"/>
    <x v="3"/>
    <x v="3"/>
    <x v="9"/>
    <x v="1"/>
  </r>
  <r>
    <x v="1767"/>
    <x v="14"/>
    <x v="8"/>
    <n v="12"/>
    <n v="96"/>
    <x v="64"/>
    <d v="2025-03-07T00:00:00"/>
    <x v="1"/>
    <x v="1"/>
    <x v="0"/>
    <x v="0"/>
    <x v="24"/>
    <x v="3"/>
    <x v="9"/>
    <x v="1"/>
  </r>
  <r>
    <x v="1768"/>
    <x v="12"/>
    <x v="0"/>
    <n v="64.3"/>
    <n v="64.3"/>
    <x v="64"/>
    <d v="2025-03-08T00:00:00"/>
    <x v="2"/>
    <x v="2"/>
    <x v="2"/>
    <x v="0"/>
    <x v="6"/>
    <x v="1"/>
    <x v="9"/>
    <x v="2"/>
  </r>
  <r>
    <x v="1769"/>
    <x v="1"/>
    <x v="2"/>
    <n v="58.2"/>
    <n v="174.60000000000002"/>
    <x v="64"/>
    <d v="2025-03-08T00:00:00"/>
    <x v="2"/>
    <x v="1"/>
    <x v="2"/>
    <x v="0"/>
    <x v="6"/>
    <x v="1"/>
    <x v="9"/>
    <x v="2"/>
  </r>
  <r>
    <x v="1770"/>
    <x v="6"/>
    <x v="12"/>
    <n v="59.2"/>
    <n v="236.8"/>
    <x v="64"/>
    <d v="2025-03-06T00:00:00"/>
    <x v="1"/>
    <x v="1"/>
    <x v="2"/>
    <x v="0"/>
    <x v="6"/>
    <x v="7"/>
    <x v="9"/>
    <x v="1"/>
  </r>
  <r>
    <x v="1771"/>
    <x v="10"/>
    <x v="5"/>
    <n v="35.6"/>
    <n v="391.6"/>
    <x v="64"/>
    <d v="2025-03-13T00:00:00"/>
    <x v="1"/>
    <x v="0"/>
    <x v="2"/>
    <x v="0"/>
    <x v="8"/>
    <x v="6"/>
    <x v="9"/>
    <x v="1"/>
  </r>
  <r>
    <x v="1772"/>
    <x v="16"/>
    <x v="8"/>
    <n v="37"/>
    <n v="296"/>
    <x v="64"/>
    <d v="2025-03-10T00:00:00"/>
    <x v="2"/>
    <x v="2"/>
    <x v="1"/>
    <x v="0"/>
    <x v="8"/>
    <x v="5"/>
    <x v="9"/>
    <x v="2"/>
  </r>
  <r>
    <x v="1773"/>
    <x v="1"/>
    <x v="15"/>
    <n v="80.8"/>
    <n v="1050.3999999999999"/>
    <x v="64"/>
    <d v="2025-03-08T00:00:00"/>
    <x v="2"/>
    <x v="0"/>
    <x v="0"/>
    <x v="0"/>
    <x v="8"/>
    <x v="1"/>
    <x v="9"/>
    <x v="2"/>
  </r>
  <r>
    <x v="1774"/>
    <x v="8"/>
    <x v="1"/>
    <n v="63.2"/>
    <n v="126.4"/>
    <x v="64"/>
    <d v="2025-03-07T00:00:00"/>
    <x v="1"/>
    <x v="0"/>
    <x v="1"/>
    <x v="0"/>
    <x v="8"/>
    <x v="3"/>
    <x v="9"/>
    <x v="1"/>
  </r>
  <r>
    <x v="1775"/>
    <x v="3"/>
    <x v="1"/>
    <n v="40.799999999999997"/>
    <n v="81.599999999999994"/>
    <x v="64"/>
    <d v="2025-03-08T00:00:00"/>
    <x v="1"/>
    <x v="0"/>
    <x v="1"/>
    <x v="0"/>
    <x v="17"/>
    <x v="1"/>
    <x v="9"/>
    <x v="1"/>
  </r>
  <r>
    <x v="1776"/>
    <x v="13"/>
    <x v="13"/>
    <n v="25.7"/>
    <n v="154.19999999999999"/>
    <x v="64"/>
    <d v="2025-03-08T00:00:00"/>
    <x v="1"/>
    <x v="4"/>
    <x v="0"/>
    <x v="0"/>
    <x v="18"/>
    <x v="1"/>
    <x v="9"/>
    <x v="1"/>
  </r>
  <r>
    <x v="1777"/>
    <x v="16"/>
    <x v="1"/>
    <n v="49.9"/>
    <n v="99.8"/>
    <x v="64"/>
    <d v="2025-03-09T00:00:00"/>
    <x v="1"/>
    <x v="0"/>
    <x v="0"/>
    <x v="0"/>
    <x v="20"/>
    <x v="2"/>
    <x v="9"/>
    <x v="1"/>
  </r>
  <r>
    <x v="1778"/>
    <x v="8"/>
    <x v="1"/>
    <n v="20.2"/>
    <n v="40.4"/>
    <x v="64"/>
    <d v="2025-03-08T00:00:00"/>
    <x v="2"/>
    <x v="3"/>
    <x v="0"/>
    <x v="0"/>
    <x v="21"/>
    <x v="1"/>
    <x v="9"/>
    <x v="2"/>
  </r>
  <r>
    <x v="1779"/>
    <x v="6"/>
    <x v="2"/>
    <n v="48.4"/>
    <n v="145.19999999999999"/>
    <x v="64"/>
    <d v="2025-03-11T00:00:00"/>
    <x v="2"/>
    <x v="0"/>
    <x v="2"/>
    <x v="0"/>
    <x v="21"/>
    <x v="0"/>
    <x v="9"/>
    <x v="2"/>
  </r>
  <r>
    <x v="1780"/>
    <x v="6"/>
    <x v="1"/>
    <n v="81"/>
    <n v="162"/>
    <x v="64"/>
    <d v="2025-03-07T00:00:00"/>
    <x v="2"/>
    <x v="1"/>
    <x v="2"/>
    <x v="0"/>
    <x v="21"/>
    <x v="3"/>
    <x v="9"/>
    <x v="2"/>
  </r>
  <r>
    <x v="1781"/>
    <x v="8"/>
    <x v="13"/>
    <n v="19.899999999999999"/>
    <n v="119.39999999999999"/>
    <x v="64"/>
    <d v="2025-03-09T00:00:00"/>
    <x v="2"/>
    <x v="0"/>
    <x v="1"/>
    <x v="0"/>
    <x v="22"/>
    <x v="2"/>
    <x v="9"/>
    <x v="2"/>
  </r>
  <r>
    <x v="1782"/>
    <x v="4"/>
    <x v="12"/>
    <n v="32.200000000000003"/>
    <n v="128.80000000000001"/>
    <x v="64"/>
    <d v="2025-03-16T00:00:00"/>
    <x v="1"/>
    <x v="0"/>
    <x v="0"/>
    <x v="0"/>
    <x v="22"/>
    <x v="14"/>
    <x v="9"/>
    <x v="1"/>
  </r>
  <r>
    <x v="1783"/>
    <x v="5"/>
    <x v="2"/>
    <n v="76.8"/>
    <n v="230.39999999999998"/>
    <x v="64"/>
    <d v="2025-03-07T00:00:00"/>
    <x v="2"/>
    <x v="0"/>
    <x v="1"/>
    <x v="0"/>
    <x v="3"/>
    <x v="3"/>
    <x v="9"/>
    <x v="2"/>
  </r>
  <r>
    <x v="1784"/>
    <x v="6"/>
    <x v="1"/>
    <n v="41.9"/>
    <n v="83.8"/>
    <x v="64"/>
    <d v="2025-03-08T00:00:00"/>
    <x v="2"/>
    <x v="0"/>
    <x v="0"/>
    <x v="0"/>
    <x v="3"/>
    <x v="1"/>
    <x v="9"/>
    <x v="2"/>
  </r>
  <r>
    <x v="1785"/>
    <x v="0"/>
    <x v="3"/>
    <n v="34"/>
    <n v="238"/>
    <x v="64"/>
    <d v="2025-03-08T00:00:00"/>
    <x v="2"/>
    <x v="1"/>
    <x v="2"/>
    <x v="0"/>
    <x v="3"/>
    <x v="1"/>
    <x v="9"/>
    <x v="2"/>
  </r>
  <r>
    <x v="1786"/>
    <x v="7"/>
    <x v="3"/>
    <n v="61.3"/>
    <n v="429.09999999999997"/>
    <x v="64"/>
    <d v="2025-03-06T00:00:00"/>
    <x v="2"/>
    <x v="4"/>
    <x v="2"/>
    <x v="0"/>
    <x v="3"/>
    <x v="7"/>
    <x v="9"/>
    <x v="2"/>
  </r>
  <r>
    <x v="1787"/>
    <x v="9"/>
    <x v="0"/>
    <n v="54.7"/>
    <n v="54.7"/>
    <x v="65"/>
    <d v="2025-03-08T00:00:00"/>
    <x v="1"/>
    <x v="0"/>
    <x v="1"/>
    <x v="0"/>
    <x v="3"/>
    <x v="3"/>
    <x v="9"/>
    <x v="1"/>
  </r>
  <r>
    <x v="1788"/>
    <x v="6"/>
    <x v="7"/>
    <n v="84.7"/>
    <n v="847"/>
    <x v="65"/>
    <d v="2025-03-11T00:00:00"/>
    <x v="2"/>
    <x v="0"/>
    <x v="0"/>
    <x v="0"/>
    <x v="3"/>
    <x v="5"/>
    <x v="9"/>
    <x v="2"/>
  </r>
  <r>
    <x v="1789"/>
    <x v="1"/>
    <x v="2"/>
    <n v="93.4"/>
    <n v="280.20000000000005"/>
    <x v="65"/>
    <d v="2025-03-11T00:00:00"/>
    <x v="2"/>
    <x v="3"/>
    <x v="0"/>
    <x v="0"/>
    <x v="3"/>
    <x v="5"/>
    <x v="9"/>
    <x v="2"/>
  </r>
  <r>
    <x v="1790"/>
    <x v="8"/>
    <x v="9"/>
    <n v="27"/>
    <n v="135"/>
    <x v="65"/>
    <d v="2025-03-10T00:00:00"/>
    <x v="1"/>
    <x v="0"/>
    <x v="1"/>
    <x v="0"/>
    <x v="3"/>
    <x v="2"/>
    <x v="9"/>
    <x v="1"/>
  </r>
  <r>
    <x v="1791"/>
    <x v="0"/>
    <x v="12"/>
    <n v="10.9"/>
    <n v="43.6"/>
    <x v="65"/>
    <d v="2025-03-08T00:00:00"/>
    <x v="1"/>
    <x v="2"/>
    <x v="0"/>
    <x v="0"/>
    <x v="3"/>
    <x v="3"/>
    <x v="9"/>
    <x v="1"/>
  </r>
  <r>
    <x v="1792"/>
    <x v="16"/>
    <x v="2"/>
    <n v="48"/>
    <n v="144"/>
    <x v="65"/>
    <d v="2025-03-12T00:00:00"/>
    <x v="2"/>
    <x v="4"/>
    <x v="0"/>
    <x v="0"/>
    <x v="3"/>
    <x v="0"/>
    <x v="9"/>
    <x v="2"/>
  </r>
  <r>
    <x v="1793"/>
    <x v="5"/>
    <x v="1"/>
    <n v="67.900000000000006"/>
    <n v="135.80000000000001"/>
    <x v="65"/>
    <d v="2025-03-08T00:00:00"/>
    <x v="1"/>
    <x v="0"/>
    <x v="2"/>
    <x v="0"/>
    <x v="23"/>
    <x v="3"/>
    <x v="9"/>
    <x v="1"/>
  </r>
  <r>
    <x v="1794"/>
    <x v="4"/>
    <x v="2"/>
    <n v="36"/>
    <n v="108"/>
    <x v="65"/>
    <d v="2025-03-08T00:00:00"/>
    <x v="1"/>
    <x v="1"/>
    <x v="0"/>
    <x v="0"/>
    <x v="6"/>
    <x v="3"/>
    <x v="9"/>
    <x v="1"/>
  </r>
  <r>
    <x v="1795"/>
    <x v="2"/>
    <x v="0"/>
    <n v="128.80000000000001"/>
    <n v="128.80000000000001"/>
    <x v="65"/>
    <d v="2025-03-08T00:00:00"/>
    <x v="1"/>
    <x v="4"/>
    <x v="2"/>
    <x v="0"/>
    <x v="6"/>
    <x v="3"/>
    <x v="9"/>
    <x v="1"/>
  </r>
  <r>
    <x v="1796"/>
    <x v="18"/>
    <x v="3"/>
    <n v="33.299999999999997"/>
    <n v="233.09999999999997"/>
    <x v="65"/>
    <d v="2025-03-08T00:00:00"/>
    <x v="2"/>
    <x v="3"/>
    <x v="0"/>
    <x v="0"/>
    <x v="8"/>
    <x v="3"/>
    <x v="9"/>
    <x v="2"/>
  </r>
  <r>
    <x v="1797"/>
    <x v="10"/>
    <x v="2"/>
    <n v="37.799999999999997"/>
    <n v="113.39999999999999"/>
    <x v="65"/>
    <d v="2025-03-09T00:00:00"/>
    <x v="1"/>
    <x v="1"/>
    <x v="2"/>
    <x v="0"/>
    <x v="8"/>
    <x v="1"/>
    <x v="9"/>
    <x v="1"/>
  </r>
  <r>
    <x v="1798"/>
    <x v="5"/>
    <x v="2"/>
    <n v="26"/>
    <n v="78"/>
    <x v="65"/>
    <d v="2025-03-12T00:00:00"/>
    <x v="2"/>
    <x v="0"/>
    <x v="0"/>
    <x v="0"/>
    <x v="8"/>
    <x v="0"/>
    <x v="9"/>
    <x v="2"/>
  </r>
  <r>
    <x v="1799"/>
    <x v="8"/>
    <x v="10"/>
    <n v="28.3"/>
    <n v="537.70000000000005"/>
    <x v="65"/>
    <d v="2025-03-08T00:00:00"/>
    <x v="2"/>
    <x v="3"/>
    <x v="4"/>
    <x v="0"/>
    <x v="8"/>
    <x v="3"/>
    <x v="9"/>
    <x v="2"/>
  </r>
  <r>
    <x v="1800"/>
    <x v="8"/>
    <x v="12"/>
    <n v="31.3"/>
    <n v="125.2"/>
    <x v="65"/>
    <d v="2025-03-07T00:00:00"/>
    <x v="2"/>
    <x v="0"/>
    <x v="0"/>
    <x v="0"/>
    <x v="8"/>
    <x v="7"/>
    <x v="9"/>
    <x v="2"/>
  </r>
  <r>
    <x v="1801"/>
    <x v="7"/>
    <x v="2"/>
    <n v="69.5"/>
    <n v="208.5"/>
    <x v="65"/>
    <d v="2025-03-08T00:00:00"/>
    <x v="2"/>
    <x v="3"/>
    <x v="2"/>
    <x v="0"/>
    <x v="8"/>
    <x v="3"/>
    <x v="9"/>
    <x v="2"/>
  </r>
  <r>
    <x v="1802"/>
    <x v="0"/>
    <x v="1"/>
    <n v="16.7"/>
    <n v="33.4"/>
    <x v="65"/>
    <d v="2025-03-08T00:00:00"/>
    <x v="2"/>
    <x v="3"/>
    <x v="1"/>
    <x v="0"/>
    <x v="8"/>
    <x v="3"/>
    <x v="9"/>
    <x v="2"/>
  </r>
  <r>
    <x v="1803"/>
    <x v="9"/>
    <x v="1"/>
    <n v="62.6"/>
    <n v="125.2"/>
    <x v="65"/>
    <d v="2025-03-08T00:00:00"/>
    <x v="1"/>
    <x v="2"/>
    <x v="2"/>
    <x v="0"/>
    <x v="9"/>
    <x v="3"/>
    <x v="9"/>
    <x v="1"/>
  </r>
  <r>
    <x v="1804"/>
    <x v="7"/>
    <x v="0"/>
    <n v="81.2"/>
    <n v="81.2"/>
    <x v="65"/>
    <d v="2025-03-13T00:00:00"/>
    <x v="1"/>
    <x v="4"/>
    <x v="4"/>
    <x v="0"/>
    <x v="9"/>
    <x v="4"/>
    <x v="9"/>
    <x v="1"/>
  </r>
  <r>
    <x v="1805"/>
    <x v="0"/>
    <x v="7"/>
    <n v="12.7"/>
    <n v="127"/>
    <x v="65"/>
    <d v="2025-03-08T00:00:00"/>
    <x v="2"/>
    <x v="0"/>
    <x v="2"/>
    <x v="0"/>
    <x v="9"/>
    <x v="3"/>
    <x v="9"/>
    <x v="2"/>
  </r>
  <r>
    <x v="1806"/>
    <x v="7"/>
    <x v="12"/>
    <n v="77.7"/>
    <n v="310.8"/>
    <x v="66"/>
    <d v="2025-03-12T00:00:00"/>
    <x v="1"/>
    <x v="1"/>
    <x v="0"/>
    <x v="0"/>
    <x v="11"/>
    <x v="5"/>
    <x v="9"/>
    <x v="1"/>
  </r>
  <r>
    <x v="1807"/>
    <x v="5"/>
    <x v="1"/>
    <n v="37.299999999999997"/>
    <n v="74.599999999999994"/>
    <x v="66"/>
    <d v="2025-03-09T00:00:00"/>
    <x v="2"/>
    <x v="0"/>
    <x v="2"/>
    <x v="0"/>
    <x v="18"/>
    <x v="3"/>
    <x v="9"/>
    <x v="2"/>
  </r>
  <r>
    <x v="1808"/>
    <x v="10"/>
    <x v="12"/>
    <n v="35.6"/>
    <n v="142.4"/>
    <x v="66"/>
    <d v="2025-03-10T00:00:00"/>
    <x v="2"/>
    <x v="1"/>
    <x v="1"/>
    <x v="0"/>
    <x v="19"/>
    <x v="1"/>
    <x v="9"/>
    <x v="2"/>
  </r>
  <r>
    <x v="1809"/>
    <x v="2"/>
    <x v="2"/>
    <n v="95"/>
    <n v="285"/>
    <x v="66"/>
    <d v="2025-03-12T00:00:00"/>
    <x v="2"/>
    <x v="2"/>
    <x v="2"/>
    <x v="0"/>
    <x v="56"/>
    <x v="5"/>
    <x v="9"/>
    <x v="2"/>
  </r>
  <r>
    <x v="1810"/>
    <x v="2"/>
    <x v="12"/>
    <n v="172.1"/>
    <n v="688.4"/>
    <x v="66"/>
    <d v="2025-03-12T00:00:00"/>
    <x v="3"/>
    <x v="2"/>
    <x v="2"/>
    <x v="0"/>
    <x v="21"/>
    <x v="5"/>
    <x v="9"/>
    <x v="3"/>
  </r>
  <r>
    <x v="1811"/>
    <x v="2"/>
    <x v="1"/>
    <n v="233"/>
    <n v="466"/>
    <x v="66"/>
    <d v="2025-03-11T00:00:00"/>
    <x v="2"/>
    <x v="1"/>
    <x v="0"/>
    <x v="0"/>
    <x v="21"/>
    <x v="2"/>
    <x v="9"/>
    <x v="2"/>
  </r>
  <r>
    <x v="1812"/>
    <x v="0"/>
    <x v="0"/>
    <n v="43.5"/>
    <n v="43.5"/>
    <x v="66"/>
    <d v="2025-03-09T00:00:00"/>
    <x v="2"/>
    <x v="2"/>
    <x v="2"/>
    <x v="0"/>
    <x v="21"/>
    <x v="3"/>
    <x v="9"/>
    <x v="2"/>
  </r>
  <r>
    <x v="1813"/>
    <x v="9"/>
    <x v="1"/>
    <n v="47.8"/>
    <n v="95.6"/>
    <x v="66"/>
    <d v="2025-03-11T00:00:00"/>
    <x v="1"/>
    <x v="4"/>
    <x v="2"/>
    <x v="0"/>
    <x v="1"/>
    <x v="2"/>
    <x v="9"/>
    <x v="1"/>
  </r>
  <r>
    <x v="1814"/>
    <x v="12"/>
    <x v="1"/>
    <n v="65.8"/>
    <n v="131.6"/>
    <x v="66"/>
    <d v="2025-03-10T00:00:00"/>
    <x v="2"/>
    <x v="0"/>
    <x v="3"/>
    <x v="0"/>
    <x v="33"/>
    <x v="1"/>
    <x v="9"/>
    <x v="2"/>
  </r>
  <r>
    <x v="1815"/>
    <x v="15"/>
    <x v="5"/>
    <n v="38.700000000000003"/>
    <n v="425.70000000000005"/>
    <x v="66"/>
    <d v="2025-03-08T00:00:00"/>
    <x v="1"/>
    <x v="0"/>
    <x v="0"/>
    <x v="0"/>
    <x v="22"/>
    <x v="7"/>
    <x v="9"/>
    <x v="1"/>
  </r>
  <r>
    <x v="1816"/>
    <x v="3"/>
    <x v="12"/>
    <n v="55.7"/>
    <n v="222.8"/>
    <x v="66"/>
    <d v="2025-03-10T00:00:00"/>
    <x v="3"/>
    <x v="0"/>
    <x v="1"/>
    <x v="0"/>
    <x v="22"/>
    <x v="1"/>
    <x v="9"/>
    <x v="3"/>
  </r>
  <r>
    <x v="1817"/>
    <x v="7"/>
    <x v="1"/>
    <n v="102.4"/>
    <n v="204.8"/>
    <x v="66"/>
    <d v="2025-03-08T00:00:00"/>
    <x v="2"/>
    <x v="1"/>
    <x v="0"/>
    <x v="0"/>
    <x v="3"/>
    <x v="7"/>
    <x v="9"/>
    <x v="2"/>
  </r>
  <r>
    <x v="1818"/>
    <x v="1"/>
    <x v="0"/>
    <n v="92"/>
    <n v="92"/>
    <x v="66"/>
    <d v="2025-03-12T00:00:00"/>
    <x v="0"/>
    <x v="2"/>
    <x v="0"/>
    <x v="0"/>
    <x v="3"/>
    <x v="5"/>
    <x v="9"/>
    <x v="0"/>
  </r>
  <r>
    <x v="1819"/>
    <x v="6"/>
    <x v="12"/>
    <n v="75.900000000000006"/>
    <n v="303.60000000000002"/>
    <x v="66"/>
    <d v="2025-03-10T00:00:00"/>
    <x v="2"/>
    <x v="1"/>
    <x v="0"/>
    <x v="0"/>
    <x v="3"/>
    <x v="1"/>
    <x v="9"/>
    <x v="2"/>
  </r>
  <r>
    <x v="1820"/>
    <x v="1"/>
    <x v="12"/>
    <n v="36.200000000000003"/>
    <n v="144.80000000000001"/>
    <x v="66"/>
    <d v="2025-03-09T00:00:00"/>
    <x v="2"/>
    <x v="1"/>
    <x v="0"/>
    <x v="0"/>
    <x v="3"/>
    <x v="3"/>
    <x v="9"/>
    <x v="2"/>
  </r>
  <r>
    <x v="1821"/>
    <x v="6"/>
    <x v="45"/>
    <n v="83.5"/>
    <n v="7264.5"/>
    <x v="66"/>
    <d v="2025-03-10T00:00:00"/>
    <x v="0"/>
    <x v="3"/>
    <x v="0"/>
    <x v="0"/>
    <x v="3"/>
    <x v="1"/>
    <x v="9"/>
    <x v="0"/>
  </r>
  <r>
    <x v="1822"/>
    <x v="19"/>
    <x v="4"/>
    <n v="52.4"/>
    <n v="628.79999999999995"/>
    <x v="66"/>
    <d v="2025-03-08T00:00:00"/>
    <x v="1"/>
    <x v="2"/>
    <x v="0"/>
    <x v="0"/>
    <x v="3"/>
    <x v="7"/>
    <x v="9"/>
    <x v="1"/>
  </r>
  <r>
    <x v="1823"/>
    <x v="12"/>
    <x v="2"/>
    <n v="69.5"/>
    <n v="208.5"/>
    <x v="66"/>
    <d v="2025-03-09T00:00:00"/>
    <x v="3"/>
    <x v="4"/>
    <x v="0"/>
    <x v="0"/>
    <x v="3"/>
    <x v="3"/>
    <x v="9"/>
    <x v="3"/>
  </r>
  <r>
    <x v="1824"/>
    <x v="0"/>
    <x v="0"/>
    <n v="15.5"/>
    <n v="15.5"/>
    <x v="66"/>
    <d v="2025-03-10T00:00:00"/>
    <x v="1"/>
    <x v="0"/>
    <x v="0"/>
    <x v="0"/>
    <x v="3"/>
    <x v="1"/>
    <x v="9"/>
    <x v="1"/>
  </r>
  <r>
    <x v="1825"/>
    <x v="4"/>
    <x v="12"/>
    <n v="35.200000000000003"/>
    <n v="140.80000000000001"/>
    <x v="66"/>
    <d v="2025-03-09T00:00:00"/>
    <x v="2"/>
    <x v="2"/>
    <x v="2"/>
    <x v="0"/>
    <x v="3"/>
    <x v="3"/>
    <x v="9"/>
    <x v="2"/>
  </r>
  <r>
    <x v="1826"/>
    <x v="8"/>
    <x v="13"/>
    <n v="34.6"/>
    <n v="207.60000000000002"/>
    <x v="66"/>
    <d v="2025-03-09T00:00:00"/>
    <x v="0"/>
    <x v="0"/>
    <x v="1"/>
    <x v="0"/>
    <x v="3"/>
    <x v="3"/>
    <x v="9"/>
    <x v="0"/>
  </r>
  <r>
    <x v="1827"/>
    <x v="4"/>
    <x v="0"/>
    <n v="21.3"/>
    <n v="21.3"/>
    <x v="67"/>
    <d v="2025-03-10T00:00:00"/>
    <x v="1"/>
    <x v="2"/>
    <x v="1"/>
    <x v="0"/>
    <x v="3"/>
    <x v="3"/>
    <x v="10"/>
    <x v="1"/>
  </r>
  <r>
    <x v="1828"/>
    <x v="6"/>
    <x v="1"/>
    <n v="136.5"/>
    <n v="273"/>
    <x v="67"/>
    <d v="2025-03-15T00:00:00"/>
    <x v="2"/>
    <x v="0"/>
    <x v="0"/>
    <x v="0"/>
    <x v="37"/>
    <x v="4"/>
    <x v="10"/>
    <x v="2"/>
  </r>
  <r>
    <x v="1829"/>
    <x v="9"/>
    <x v="3"/>
    <n v="30.7"/>
    <n v="214.9"/>
    <x v="67"/>
    <d v="2025-03-10T00:00:00"/>
    <x v="1"/>
    <x v="2"/>
    <x v="2"/>
    <x v="0"/>
    <x v="25"/>
    <x v="3"/>
    <x v="10"/>
    <x v="1"/>
  </r>
  <r>
    <x v="1830"/>
    <x v="1"/>
    <x v="1"/>
    <n v="61.6"/>
    <n v="123.2"/>
    <x v="67"/>
    <d v="2025-03-10T00:00:00"/>
    <x v="2"/>
    <x v="2"/>
    <x v="2"/>
    <x v="0"/>
    <x v="23"/>
    <x v="3"/>
    <x v="10"/>
    <x v="2"/>
  </r>
  <r>
    <x v="1831"/>
    <x v="6"/>
    <x v="12"/>
    <n v="54.3"/>
    <n v="217.2"/>
    <x v="67"/>
    <d v="2025-03-11T00:00:00"/>
    <x v="0"/>
    <x v="4"/>
    <x v="0"/>
    <x v="0"/>
    <x v="7"/>
    <x v="1"/>
    <x v="10"/>
    <x v="0"/>
  </r>
  <r>
    <x v="1832"/>
    <x v="1"/>
    <x v="1"/>
    <n v="44.1"/>
    <n v="88.2"/>
    <x v="67"/>
    <d v="2025-03-21T00:00:00"/>
    <x v="2"/>
    <x v="0"/>
    <x v="2"/>
    <x v="0"/>
    <x v="8"/>
    <x v="13"/>
    <x v="10"/>
    <x v="2"/>
  </r>
  <r>
    <x v="1833"/>
    <x v="8"/>
    <x v="12"/>
    <n v="43.5"/>
    <n v="174"/>
    <x v="67"/>
    <d v="2025-03-15T00:00:00"/>
    <x v="1"/>
    <x v="3"/>
    <x v="0"/>
    <x v="0"/>
    <x v="8"/>
    <x v="4"/>
    <x v="10"/>
    <x v="1"/>
  </r>
  <r>
    <x v="1834"/>
    <x v="8"/>
    <x v="2"/>
    <n v="48.2"/>
    <n v="144.60000000000002"/>
    <x v="67"/>
    <d v="2025-03-13T00:00:00"/>
    <x v="1"/>
    <x v="3"/>
    <x v="1"/>
    <x v="0"/>
    <x v="8"/>
    <x v="5"/>
    <x v="10"/>
    <x v="1"/>
  </r>
  <r>
    <x v="1835"/>
    <x v="19"/>
    <x v="0"/>
    <n v="13.7"/>
    <n v="13.7"/>
    <x v="67"/>
    <d v="2025-03-10T00:00:00"/>
    <x v="2"/>
    <x v="2"/>
    <x v="2"/>
    <x v="0"/>
    <x v="8"/>
    <x v="3"/>
    <x v="10"/>
    <x v="2"/>
  </r>
  <r>
    <x v="1836"/>
    <x v="2"/>
    <x v="1"/>
    <n v="110.5"/>
    <n v="221"/>
    <x v="67"/>
    <d v="2025-03-10T00:00:00"/>
    <x v="2"/>
    <x v="0"/>
    <x v="1"/>
    <x v="0"/>
    <x v="8"/>
    <x v="3"/>
    <x v="10"/>
    <x v="2"/>
  </r>
  <r>
    <x v="1837"/>
    <x v="8"/>
    <x v="2"/>
    <n v="26"/>
    <n v="78"/>
    <x v="67"/>
    <d v="2025-03-14T00:00:00"/>
    <x v="2"/>
    <x v="1"/>
    <x v="1"/>
    <x v="0"/>
    <x v="8"/>
    <x v="0"/>
    <x v="10"/>
    <x v="2"/>
  </r>
  <r>
    <x v="1838"/>
    <x v="2"/>
    <x v="7"/>
    <n v="140.69999999999999"/>
    <n v="1407"/>
    <x v="67"/>
    <d v="2025-03-15T00:00:00"/>
    <x v="1"/>
    <x v="3"/>
    <x v="1"/>
    <x v="0"/>
    <x v="8"/>
    <x v="4"/>
    <x v="10"/>
    <x v="1"/>
  </r>
  <r>
    <x v="1839"/>
    <x v="17"/>
    <x v="1"/>
    <n v="41.7"/>
    <n v="83.4"/>
    <x v="67"/>
    <d v="2025-03-17T00:00:00"/>
    <x v="2"/>
    <x v="0"/>
    <x v="4"/>
    <x v="0"/>
    <x v="8"/>
    <x v="9"/>
    <x v="10"/>
    <x v="2"/>
  </r>
  <r>
    <x v="1840"/>
    <x v="2"/>
    <x v="1"/>
    <n v="135.1"/>
    <n v="270.2"/>
    <x v="67"/>
    <d v="2025-03-10T00:00:00"/>
    <x v="1"/>
    <x v="0"/>
    <x v="2"/>
    <x v="0"/>
    <x v="17"/>
    <x v="3"/>
    <x v="10"/>
    <x v="1"/>
  </r>
  <r>
    <x v="1841"/>
    <x v="12"/>
    <x v="32"/>
    <n v="95.5"/>
    <n v="2101"/>
    <x v="67"/>
    <d v="2025-03-10T00:00:00"/>
    <x v="2"/>
    <x v="4"/>
    <x v="4"/>
    <x v="0"/>
    <x v="26"/>
    <x v="3"/>
    <x v="10"/>
    <x v="2"/>
  </r>
  <r>
    <x v="1842"/>
    <x v="15"/>
    <x v="0"/>
    <n v="25.5"/>
    <n v="25.5"/>
    <x v="67"/>
    <d v="2025-03-12T00:00:00"/>
    <x v="0"/>
    <x v="2"/>
    <x v="2"/>
    <x v="0"/>
    <x v="11"/>
    <x v="2"/>
    <x v="10"/>
    <x v="0"/>
  </r>
  <r>
    <x v="1843"/>
    <x v="1"/>
    <x v="0"/>
    <n v="42.6"/>
    <n v="42.6"/>
    <x v="67"/>
    <d v="2025-03-13T00:00:00"/>
    <x v="2"/>
    <x v="0"/>
    <x v="0"/>
    <x v="0"/>
    <x v="11"/>
    <x v="5"/>
    <x v="10"/>
    <x v="2"/>
  </r>
  <r>
    <x v="1844"/>
    <x v="8"/>
    <x v="20"/>
    <n v="32.4"/>
    <n v="486"/>
    <x v="67"/>
    <d v="2025-03-10T00:00:00"/>
    <x v="1"/>
    <x v="1"/>
    <x v="1"/>
    <x v="0"/>
    <x v="11"/>
    <x v="3"/>
    <x v="10"/>
    <x v="1"/>
  </r>
  <r>
    <x v="1845"/>
    <x v="4"/>
    <x v="12"/>
    <n v="20.2"/>
    <n v="80.8"/>
    <x v="67"/>
    <d v="2025-03-10T00:00:00"/>
    <x v="3"/>
    <x v="2"/>
    <x v="0"/>
    <x v="0"/>
    <x v="11"/>
    <x v="3"/>
    <x v="10"/>
    <x v="3"/>
  </r>
  <r>
    <x v="1846"/>
    <x v="16"/>
    <x v="2"/>
    <n v="52.5"/>
    <n v="157.5"/>
    <x v="67"/>
    <d v="2025-03-14T00:00:00"/>
    <x v="2"/>
    <x v="4"/>
    <x v="0"/>
    <x v="0"/>
    <x v="18"/>
    <x v="0"/>
    <x v="10"/>
    <x v="2"/>
  </r>
  <r>
    <x v="1847"/>
    <x v="2"/>
    <x v="9"/>
    <n v="59.9"/>
    <n v="299.5"/>
    <x v="67"/>
    <d v="2025-03-11T00:00:00"/>
    <x v="2"/>
    <x v="2"/>
    <x v="0"/>
    <x v="0"/>
    <x v="19"/>
    <x v="1"/>
    <x v="10"/>
    <x v="2"/>
  </r>
  <r>
    <x v="1848"/>
    <x v="4"/>
    <x v="1"/>
    <n v="53.2"/>
    <n v="106.4"/>
    <x v="67"/>
    <d v="2025-03-10T00:00:00"/>
    <x v="2"/>
    <x v="1"/>
    <x v="3"/>
    <x v="0"/>
    <x v="20"/>
    <x v="3"/>
    <x v="10"/>
    <x v="2"/>
  </r>
  <r>
    <x v="1849"/>
    <x v="2"/>
    <x v="1"/>
    <n v="60"/>
    <n v="120"/>
    <x v="67"/>
    <d v="2025-03-15T00:00:00"/>
    <x v="1"/>
    <x v="1"/>
    <x v="2"/>
    <x v="0"/>
    <x v="20"/>
    <x v="4"/>
    <x v="10"/>
    <x v="1"/>
  </r>
  <r>
    <x v="1850"/>
    <x v="8"/>
    <x v="2"/>
    <n v="29.3"/>
    <n v="87.9"/>
    <x v="67"/>
    <d v="2025-03-10T00:00:00"/>
    <x v="2"/>
    <x v="4"/>
    <x v="0"/>
    <x v="0"/>
    <x v="13"/>
    <x v="3"/>
    <x v="10"/>
    <x v="2"/>
  </r>
  <r>
    <x v="1851"/>
    <x v="12"/>
    <x v="1"/>
    <n v="55.4"/>
    <n v="110.8"/>
    <x v="67"/>
    <d v="2025-03-10T00:00:00"/>
    <x v="2"/>
    <x v="0"/>
    <x v="2"/>
    <x v="0"/>
    <x v="21"/>
    <x v="3"/>
    <x v="10"/>
    <x v="2"/>
  </r>
  <r>
    <x v="1852"/>
    <x v="0"/>
    <x v="9"/>
    <n v="20.100000000000001"/>
    <n v="100.5"/>
    <x v="67"/>
    <d v="2025-03-11T00:00:00"/>
    <x v="2"/>
    <x v="1"/>
    <x v="2"/>
    <x v="0"/>
    <x v="21"/>
    <x v="1"/>
    <x v="10"/>
    <x v="2"/>
  </r>
  <r>
    <x v="1853"/>
    <x v="14"/>
    <x v="9"/>
    <n v="24"/>
    <n v="120"/>
    <x v="67"/>
    <d v="2025-03-12T00:00:00"/>
    <x v="1"/>
    <x v="2"/>
    <x v="0"/>
    <x v="0"/>
    <x v="1"/>
    <x v="2"/>
    <x v="10"/>
    <x v="1"/>
  </r>
  <r>
    <x v="1854"/>
    <x v="8"/>
    <x v="1"/>
    <n v="30.6"/>
    <n v="61.2"/>
    <x v="68"/>
    <d v="2025-03-12T00:00:00"/>
    <x v="2"/>
    <x v="0"/>
    <x v="0"/>
    <x v="0"/>
    <x v="1"/>
    <x v="1"/>
    <x v="10"/>
    <x v="2"/>
  </r>
  <r>
    <x v="1855"/>
    <x v="10"/>
    <x v="9"/>
    <n v="33"/>
    <n v="165"/>
    <x v="68"/>
    <d v="2025-03-11T00:00:00"/>
    <x v="1"/>
    <x v="1"/>
    <x v="1"/>
    <x v="0"/>
    <x v="27"/>
    <x v="3"/>
    <x v="10"/>
    <x v="1"/>
  </r>
  <r>
    <x v="1856"/>
    <x v="17"/>
    <x v="11"/>
    <n v="42.1"/>
    <n v="378.90000000000003"/>
    <x v="68"/>
    <d v="2025-03-16T00:00:00"/>
    <x v="2"/>
    <x v="2"/>
    <x v="0"/>
    <x v="0"/>
    <x v="44"/>
    <x v="4"/>
    <x v="10"/>
    <x v="2"/>
  </r>
  <r>
    <x v="1857"/>
    <x v="6"/>
    <x v="3"/>
    <n v="77.7"/>
    <n v="543.9"/>
    <x v="68"/>
    <d v="2025-03-15T00:00:00"/>
    <x v="2"/>
    <x v="1"/>
    <x v="2"/>
    <x v="0"/>
    <x v="50"/>
    <x v="0"/>
    <x v="10"/>
    <x v="2"/>
  </r>
  <r>
    <x v="1858"/>
    <x v="17"/>
    <x v="13"/>
    <n v="22.7"/>
    <n v="136.19999999999999"/>
    <x v="68"/>
    <d v="2025-03-13T00:00:00"/>
    <x v="2"/>
    <x v="2"/>
    <x v="0"/>
    <x v="0"/>
    <x v="3"/>
    <x v="2"/>
    <x v="10"/>
    <x v="2"/>
  </r>
  <r>
    <x v="1859"/>
    <x v="2"/>
    <x v="1"/>
    <n v="133"/>
    <n v="266"/>
    <x v="68"/>
    <d v="2025-03-10T00:00:00"/>
    <x v="1"/>
    <x v="2"/>
    <x v="2"/>
    <x v="0"/>
    <x v="3"/>
    <x v="7"/>
    <x v="10"/>
    <x v="1"/>
  </r>
  <r>
    <x v="1860"/>
    <x v="0"/>
    <x v="1"/>
    <n v="23.3"/>
    <n v="46.6"/>
    <x v="68"/>
    <d v="2025-03-11T00:00:00"/>
    <x v="1"/>
    <x v="1"/>
    <x v="2"/>
    <x v="0"/>
    <x v="3"/>
    <x v="3"/>
    <x v="10"/>
    <x v="1"/>
  </r>
  <r>
    <x v="1861"/>
    <x v="8"/>
    <x v="2"/>
    <n v="20.7"/>
    <n v="62.099999999999994"/>
    <x v="68"/>
    <d v="2025-03-12T00:00:00"/>
    <x v="3"/>
    <x v="0"/>
    <x v="2"/>
    <x v="0"/>
    <x v="3"/>
    <x v="1"/>
    <x v="10"/>
    <x v="3"/>
  </r>
  <r>
    <x v="1862"/>
    <x v="12"/>
    <x v="1"/>
    <n v="47"/>
    <n v="94"/>
    <x v="68"/>
    <d v="2025-03-11T00:00:00"/>
    <x v="1"/>
    <x v="1"/>
    <x v="2"/>
    <x v="0"/>
    <x v="3"/>
    <x v="3"/>
    <x v="10"/>
    <x v="1"/>
  </r>
  <r>
    <x v="1863"/>
    <x v="12"/>
    <x v="2"/>
    <n v="38.200000000000003"/>
    <n v="114.60000000000001"/>
    <x v="68"/>
    <d v="2025-03-12T00:00:00"/>
    <x v="2"/>
    <x v="2"/>
    <x v="4"/>
    <x v="0"/>
    <x v="3"/>
    <x v="1"/>
    <x v="10"/>
    <x v="2"/>
  </r>
  <r>
    <x v="1864"/>
    <x v="9"/>
    <x v="0"/>
    <n v="39.1"/>
    <n v="39.1"/>
    <x v="68"/>
    <d v="2025-03-12T00:00:00"/>
    <x v="2"/>
    <x v="0"/>
    <x v="0"/>
    <x v="0"/>
    <x v="3"/>
    <x v="1"/>
    <x v="10"/>
    <x v="2"/>
  </r>
  <r>
    <x v="1865"/>
    <x v="7"/>
    <x v="30"/>
    <n v="55.6"/>
    <n v="1390"/>
    <x v="68"/>
    <d v="2025-03-12T00:00:00"/>
    <x v="1"/>
    <x v="0"/>
    <x v="2"/>
    <x v="0"/>
    <x v="3"/>
    <x v="1"/>
    <x v="10"/>
    <x v="1"/>
  </r>
  <r>
    <x v="1866"/>
    <x v="15"/>
    <x v="0"/>
    <n v="43.1"/>
    <n v="43.1"/>
    <x v="68"/>
    <d v="2025-03-10T00:00:00"/>
    <x v="3"/>
    <x v="1"/>
    <x v="2"/>
    <x v="0"/>
    <x v="3"/>
    <x v="7"/>
    <x v="10"/>
    <x v="3"/>
  </r>
  <r>
    <x v="1867"/>
    <x v="6"/>
    <x v="12"/>
    <n v="48.1"/>
    <n v="192.4"/>
    <x v="68"/>
    <d v="2025-03-11T00:00:00"/>
    <x v="2"/>
    <x v="4"/>
    <x v="2"/>
    <x v="0"/>
    <x v="3"/>
    <x v="3"/>
    <x v="10"/>
    <x v="2"/>
  </r>
  <r>
    <x v="1868"/>
    <x v="4"/>
    <x v="0"/>
    <n v="42"/>
    <n v="42"/>
    <x v="68"/>
    <d v="2025-03-11T00:00:00"/>
    <x v="3"/>
    <x v="0"/>
    <x v="0"/>
    <x v="0"/>
    <x v="3"/>
    <x v="3"/>
    <x v="10"/>
    <x v="3"/>
  </r>
  <r>
    <x v="1869"/>
    <x v="8"/>
    <x v="9"/>
    <n v="18.3"/>
    <n v="91.5"/>
    <x v="68"/>
    <d v="2025-03-10T00:00:00"/>
    <x v="2"/>
    <x v="2"/>
    <x v="0"/>
    <x v="0"/>
    <x v="3"/>
    <x v="7"/>
    <x v="10"/>
    <x v="2"/>
  </r>
  <r>
    <x v="1870"/>
    <x v="10"/>
    <x v="12"/>
    <n v="45.3"/>
    <n v="181.2"/>
    <x v="68"/>
    <d v="2025-03-13T00:00:00"/>
    <x v="2"/>
    <x v="0"/>
    <x v="2"/>
    <x v="0"/>
    <x v="3"/>
    <x v="2"/>
    <x v="10"/>
    <x v="2"/>
  </r>
  <r>
    <x v="1871"/>
    <x v="0"/>
    <x v="1"/>
    <n v="27.6"/>
    <n v="55.2"/>
    <x v="68"/>
    <d v="2025-03-12T00:00:00"/>
    <x v="1"/>
    <x v="0"/>
    <x v="2"/>
    <x v="0"/>
    <x v="37"/>
    <x v="1"/>
    <x v="10"/>
    <x v="1"/>
  </r>
  <r>
    <x v="1872"/>
    <x v="4"/>
    <x v="9"/>
    <n v="26.9"/>
    <n v="134.5"/>
    <x v="68"/>
    <d v="2025-03-11T00:00:00"/>
    <x v="2"/>
    <x v="2"/>
    <x v="0"/>
    <x v="0"/>
    <x v="25"/>
    <x v="3"/>
    <x v="10"/>
    <x v="2"/>
  </r>
  <r>
    <x v="1873"/>
    <x v="2"/>
    <x v="11"/>
    <n v="82.4"/>
    <n v="741.6"/>
    <x v="68"/>
    <d v="2025-03-12T00:00:00"/>
    <x v="3"/>
    <x v="2"/>
    <x v="0"/>
    <x v="0"/>
    <x v="5"/>
    <x v="1"/>
    <x v="10"/>
    <x v="3"/>
  </r>
  <r>
    <x v="1874"/>
    <x v="6"/>
    <x v="0"/>
    <n v="103.7"/>
    <n v="103.7"/>
    <x v="68"/>
    <d v="2025-03-12T00:00:00"/>
    <x v="2"/>
    <x v="1"/>
    <x v="0"/>
    <x v="0"/>
    <x v="5"/>
    <x v="1"/>
    <x v="10"/>
    <x v="2"/>
  </r>
  <r>
    <x v="1875"/>
    <x v="2"/>
    <x v="1"/>
    <n v="58.8"/>
    <n v="117.6"/>
    <x v="68"/>
    <d v="2025-03-15T00:00:00"/>
    <x v="2"/>
    <x v="1"/>
    <x v="2"/>
    <x v="0"/>
    <x v="6"/>
    <x v="0"/>
    <x v="10"/>
    <x v="2"/>
  </r>
  <r>
    <x v="1876"/>
    <x v="13"/>
    <x v="0"/>
    <n v="31.5"/>
    <n v="31.5"/>
    <x v="68"/>
    <d v="2025-03-11T00:00:00"/>
    <x v="2"/>
    <x v="1"/>
    <x v="1"/>
    <x v="0"/>
    <x v="6"/>
    <x v="3"/>
    <x v="10"/>
    <x v="2"/>
  </r>
  <r>
    <x v="1877"/>
    <x v="7"/>
    <x v="9"/>
    <n v="36.799999999999997"/>
    <n v="184"/>
    <x v="68"/>
    <d v="2025-03-12T00:00:00"/>
    <x v="2"/>
    <x v="0"/>
    <x v="0"/>
    <x v="0"/>
    <x v="8"/>
    <x v="1"/>
    <x v="10"/>
    <x v="2"/>
  </r>
  <r>
    <x v="1878"/>
    <x v="3"/>
    <x v="0"/>
    <n v="84.4"/>
    <n v="84.4"/>
    <x v="68"/>
    <d v="2025-03-11T00:00:00"/>
    <x v="2"/>
    <x v="0"/>
    <x v="0"/>
    <x v="0"/>
    <x v="8"/>
    <x v="3"/>
    <x v="10"/>
    <x v="2"/>
  </r>
  <r>
    <x v="1879"/>
    <x v="14"/>
    <x v="0"/>
    <n v="44.7"/>
    <n v="44.7"/>
    <x v="68"/>
    <d v="2025-03-11T00:00:00"/>
    <x v="1"/>
    <x v="0"/>
    <x v="1"/>
    <x v="0"/>
    <x v="8"/>
    <x v="3"/>
    <x v="10"/>
    <x v="1"/>
  </r>
  <r>
    <x v="1880"/>
    <x v="9"/>
    <x v="8"/>
    <n v="39.4"/>
    <n v="315.2"/>
    <x v="68"/>
    <d v="2025-03-11T00:00:00"/>
    <x v="2"/>
    <x v="1"/>
    <x v="2"/>
    <x v="0"/>
    <x v="8"/>
    <x v="3"/>
    <x v="10"/>
    <x v="2"/>
  </r>
  <r>
    <x v="1881"/>
    <x v="11"/>
    <x v="12"/>
    <n v="34.9"/>
    <n v="139.6"/>
    <x v="68"/>
    <d v="2025-03-12T00:00:00"/>
    <x v="2"/>
    <x v="0"/>
    <x v="2"/>
    <x v="0"/>
    <x v="8"/>
    <x v="1"/>
    <x v="10"/>
    <x v="2"/>
  </r>
  <r>
    <x v="1882"/>
    <x v="1"/>
    <x v="2"/>
    <n v="62.3"/>
    <n v="186.89999999999998"/>
    <x v="68"/>
    <d v="2025-03-12T00:00:00"/>
    <x v="1"/>
    <x v="4"/>
    <x v="2"/>
    <x v="0"/>
    <x v="8"/>
    <x v="1"/>
    <x v="10"/>
    <x v="1"/>
  </r>
  <r>
    <x v="1883"/>
    <x v="8"/>
    <x v="12"/>
    <n v="21.1"/>
    <n v="84.4"/>
    <x v="68"/>
    <d v="2025-03-13T00:00:00"/>
    <x v="1"/>
    <x v="3"/>
    <x v="0"/>
    <x v="0"/>
    <x v="8"/>
    <x v="2"/>
    <x v="10"/>
    <x v="1"/>
  </r>
  <r>
    <x v="1884"/>
    <x v="8"/>
    <x v="2"/>
    <n v="33.200000000000003"/>
    <n v="99.600000000000009"/>
    <x v="68"/>
    <d v="2025-03-24T00:00:00"/>
    <x v="0"/>
    <x v="0"/>
    <x v="4"/>
    <x v="0"/>
    <x v="8"/>
    <x v="12"/>
    <x v="10"/>
    <x v="0"/>
  </r>
  <r>
    <x v="1885"/>
    <x v="1"/>
    <x v="12"/>
    <n v="74.5"/>
    <n v="298"/>
    <x v="68"/>
    <d v="2025-03-11T00:00:00"/>
    <x v="1"/>
    <x v="4"/>
    <x v="0"/>
    <x v="0"/>
    <x v="8"/>
    <x v="3"/>
    <x v="10"/>
    <x v="1"/>
  </r>
  <r>
    <x v="1886"/>
    <x v="10"/>
    <x v="4"/>
    <n v="68.599999999999994"/>
    <n v="823.19999999999993"/>
    <x v="68"/>
    <d v="2025-03-13T00:00:00"/>
    <x v="2"/>
    <x v="0"/>
    <x v="2"/>
    <x v="0"/>
    <x v="8"/>
    <x v="2"/>
    <x v="10"/>
    <x v="2"/>
  </r>
  <r>
    <x v="1887"/>
    <x v="5"/>
    <x v="21"/>
    <n v="36.4"/>
    <n v="509.59999999999997"/>
    <x v="68"/>
    <d v="2025-03-12T00:00:00"/>
    <x v="2"/>
    <x v="0"/>
    <x v="1"/>
    <x v="0"/>
    <x v="9"/>
    <x v="1"/>
    <x v="10"/>
    <x v="2"/>
  </r>
  <r>
    <x v="1888"/>
    <x v="16"/>
    <x v="9"/>
    <n v="67.599999999999994"/>
    <n v="338"/>
    <x v="69"/>
    <d v="2025-03-14T00:00:00"/>
    <x v="2"/>
    <x v="4"/>
    <x v="1"/>
    <x v="0"/>
    <x v="9"/>
    <x v="2"/>
    <x v="10"/>
    <x v="2"/>
  </r>
  <r>
    <x v="1889"/>
    <x v="15"/>
    <x v="0"/>
    <n v="46.3"/>
    <n v="46.3"/>
    <x v="69"/>
    <d v="2025-03-12T00:00:00"/>
    <x v="1"/>
    <x v="2"/>
    <x v="0"/>
    <x v="0"/>
    <x v="9"/>
    <x v="3"/>
    <x v="10"/>
    <x v="1"/>
  </r>
  <r>
    <x v="1890"/>
    <x v="1"/>
    <x v="2"/>
    <n v="124.2"/>
    <n v="372.6"/>
    <x v="69"/>
    <d v="2025-03-13T00:00:00"/>
    <x v="2"/>
    <x v="1"/>
    <x v="2"/>
    <x v="0"/>
    <x v="11"/>
    <x v="1"/>
    <x v="10"/>
    <x v="2"/>
  </r>
  <r>
    <x v="1891"/>
    <x v="10"/>
    <x v="1"/>
    <n v="37"/>
    <n v="74"/>
    <x v="69"/>
    <d v="2025-03-17T00:00:00"/>
    <x v="1"/>
    <x v="0"/>
    <x v="0"/>
    <x v="0"/>
    <x v="11"/>
    <x v="4"/>
    <x v="10"/>
    <x v="1"/>
  </r>
  <r>
    <x v="1892"/>
    <x v="5"/>
    <x v="0"/>
    <n v="41.8"/>
    <n v="41.8"/>
    <x v="69"/>
    <d v="2025-03-12T00:00:00"/>
    <x v="1"/>
    <x v="2"/>
    <x v="0"/>
    <x v="0"/>
    <x v="31"/>
    <x v="3"/>
    <x v="10"/>
    <x v="1"/>
  </r>
  <r>
    <x v="1893"/>
    <x v="9"/>
    <x v="1"/>
    <n v="57.2"/>
    <n v="114.4"/>
    <x v="69"/>
    <d v="2025-03-13T00:00:00"/>
    <x v="1"/>
    <x v="2"/>
    <x v="1"/>
    <x v="0"/>
    <x v="20"/>
    <x v="1"/>
    <x v="10"/>
    <x v="1"/>
  </r>
  <r>
    <x v="1894"/>
    <x v="6"/>
    <x v="1"/>
    <n v="47.1"/>
    <n v="94.2"/>
    <x v="69"/>
    <d v="2025-03-13T00:00:00"/>
    <x v="2"/>
    <x v="0"/>
    <x v="4"/>
    <x v="0"/>
    <x v="20"/>
    <x v="1"/>
    <x v="10"/>
    <x v="2"/>
  </r>
  <r>
    <x v="1895"/>
    <x v="5"/>
    <x v="2"/>
    <n v="86.4"/>
    <n v="259.20000000000005"/>
    <x v="69"/>
    <d v="2025-03-12T00:00:00"/>
    <x v="1"/>
    <x v="2"/>
    <x v="1"/>
    <x v="0"/>
    <x v="52"/>
    <x v="3"/>
    <x v="10"/>
    <x v="1"/>
  </r>
  <r>
    <x v="1896"/>
    <x v="6"/>
    <x v="9"/>
    <n v="105"/>
    <n v="525"/>
    <x v="69"/>
    <d v="2025-03-14T00:00:00"/>
    <x v="1"/>
    <x v="0"/>
    <x v="0"/>
    <x v="0"/>
    <x v="13"/>
    <x v="2"/>
    <x v="10"/>
    <x v="1"/>
  </r>
  <r>
    <x v="1897"/>
    <x v="18"/>
    <x v="0"/>
    <n v="33"/>
    <n v="33"/>
    <x v="69"/>
    <d v="2025-03-14T00:00:00"/>
    <x v="1"/>
    <x v="4"/>
    <x v="0"/>
    <x v="0"/>
    <x v="21"/>
    <x v="2"/>
    <x v="10"/>
    <x v="1"/>
  </r>
  <r>
    <x v="1898"/>
    <x v="6"/>
    <x v="9"/>
    <n v="106.6"/>
    <n v="533"/>
    <x v="69"/>
    <d v="2025-03-24T00:00:00"/>
    <x v="2"/>
    <x v="2"/>
    <x v="0"/>
    <x v="0"/>
    <x v="1"/>
    <x v="10"/>
    <x v="10"/>
    <x v="2"/>
  </r>
  <r>
    <x v="1899"/>
    <x v="10"/>
    <x v="46"/>
    <n v="26.8"/>
    <n v="857.6"/>
    <x v="69"/>
    <d v="2025-03-12T00:00:00"/>
    <x v="2"/>
    <x v="2"/>
    <x v="0"/>
    <x v="0"/>
    <x v="1"/>
    <x v="3"/>
    <x v="10"/>
    <x v="2"/>
  </r>
  <r>
    <x v="1900"/>
    <x v="17"/>
    <x v="9"/>
    <n v="25.8"/>
    <n v="129"/>
    <x v="69"/>
    <d v="2025-03-11T00:00:00"/>
    <x v="2"/>
    <x v="1"/>
    <x v="2"/>
    <x v="0"/>
    <x v="3"/>
    <x v="7"/>
    <x v="10"/>
    <x v="2"/>
  </r>
  <r>
    <x v="1901"/>
    <x v="2"/>
    <x v="2"/>
    <n v="217"/>
    <n v="651"/>
    <x v="69"/>
    <d v="2025-03-12T00:00:00"/>
    <x v="2"/>
    <x v="1"/>
    <x v="1"/>
    <x v="0"/>
    <x v="3"/>
    <x v="3"/>
    <x v="10"/>
    <x v="2"/>
  </r>
  <r>
    <x v="1902"/>
    <x v="2"/>
    <x v="1"/>
    <n v="97.3"/>
    <n v="194.6"/>
    <x v="69"/>
    <d v="2025-03-12T00:00:00"/>
    <x v="1"/>
    <x v="2"/>
    <x v="4"/>
    <x v="0"/>
    <x v="3"/>
    <x v="3"/>
    <x v="10"/>
    <x v="1"/>
  </r>
  <r>
    <x v="1903"/>
    <x v="1"/>
    <x v="0"/>
    <n v="49.8"/>
    <n v="49.8"/>
    <x v="69"/>
    <d v="2025-03-12T00:00:00"/>
    <x v="2"/>
    <x v="0"/>
    <x v="0"/>
    <x v="0"/>
    <x v="3"/>
    <x v="3"/>
    <x v="10"/>
    <x v="2"/>
  </r>
  <r>
    <x v="1904"/>
    <x v="12"/>
    <x v="9"/>
    <n v="32.6"/>
    <n v="163"/>
    <x v="69"/>
    <d v="2025-03-12T00:00:00"/>
    <x v="2"/>
    <x v="0"/>
    <x v="0"/>
    <x v="0"/>
    <x v="3"/>
    <x v="3"/>
    <x v="10"/>
    <x v="2"/>
  </r>
  <r>
    <x v="1905"/>
    <x v="9"/>
    <x v="1"/>
    <n v="40.1"/>
    <n v="80.2"/>
    <x v="69"/>
    <d v="2025-03-14T00:00:00"/>
    <x v="1"/>
    <x v="1"/>
    <x v="2"/>
    <x v="0"/>
    <x v="3"/>
    <x v="2"/>
    <x v="10"/>
    <x v="1"/>
  </r>
  <r>
    <x v="1906"/>
    <x v="10"/>
    <x v="1"/>
    <n v="49.4"/>
    <n v="98.8"/>
    <x v="69"/>
    <d v="2025-03-13T00:00:00"/>
    <x v="1"/>
    <x v="1"/>
    <x v="0"/>
    <x v="0"/>
    <x v="3"/>
    <x v="1"/>
    <x v="10"/>
    <x v="1"/>
  </r>
  <r>
    <x v="1907"/>
    <x v="2"/>
    <x v="0"/>
    <n v="67.3"/>
    <n v="67.3"/>
    <x v="69"/>
    <d v="2025-03-12T00:00:00"/>
    <x v="2"/>
    <x v="0"/>
    <x v="2"/>
    <x v="0"/>
    <x v="3"/>
    <x v="3"/>
    <x v="10"/>
    <x v="2"/>
  </r>
  <r>
    <x v="1908"/>
    <x v="18"/>
    <x v="12"/>
    <n v="44.5"/>
    <n v="178"/>
    <x v="69"/>
    <d v="2025-03-14T00:00:00"/>
    <x v="0"/>
    <x v="1"/>
    <x v="0"/>
    <x v="0"/>
    <x v="3"/>
    <x v="2"/>
    <x v="10"/>
    <x v="0"/>
  </r>
  <r>
    <x v="1909"/>
    <x v="6"/>
    <x v="5"/>
    <n v="111.1"/>
    <n v="1222.0999999999999"/>
    <x v="69"/>
    <d v="2025-03-12T00:00:00"/>
    <x v="2"/>
    <x v="4"/>
    <x v="0"/>
    <x v="0"/>
    <x v="3"/>
    <x v="3"/>
    <x v="10"/>
    <x v="2"/>
  </r>
  <r>
    <x v="1910"/>
    <x v="8"/>
    <x v="2"/>
    <n v="19.7"/>
    <n v="59.099999999999994"/>
    <x v="69"/>
    <d v="2025-03-12T00:00:00"/>
    <x v="2"/>
    <x v="4"/>
    <x v="4"/>
    <x v="0"/>
    <x v="3"/>
    <x v="3"/>
    <x v="10"/>
    <x v="2"/>
  </r>
  <r>
    <x v="1911"/>
    <x v="1"/>
    <x v="0"/>
    <n v="40.299999999999997"/>
    <n v="40.299999999999997"/>
    <x v="69"/>
    <d v="2025-03-12T00:00:00"/>
    <x v="3"/>
    <x v="1"/>
    <x v="0"/>
    <x v="0"/>
    <x v="3"/>
    <x v="3"/>
    <x v="10"/>
    <x v="3"/>
  </r>
  <r>
    <x v="1912"/>
    <x v="6"/>
    <x v="1"/>
    <n v="108.8"/>
    <n v="217.6"/>
    <x v="69"/>
    <d v="2025-03-16T00:00:00"/>
    <x v="1"/>
    <x v="0"/>
    <x v="2"/>
    <x v="0"/>
    <x v="6"/>
    <x v="0"/>
    <x v="10"/>
    <x v="1"/>
  </r>
  <r>
    <x v="1913"/>
    <x v="8"/>
    <x v="2"/>
    <n v="48.2"/>
    <n v="144.60000000000002"/>
    <x v="69"/>
    <d v="2025-03-16T00:00:00"/>
    <x v="2"/>
    <x v="4"/>
    <x v="0"/>
    <x v="0"/>
    <x v="7"/>
    <x v="0"/>
    <x v="10"/>
    <x v="2"/>
  </r>
  <r>
    <x v="1914"/>
    <x v="2"/>
    <x v="2"/>
    <n v="104.7"/>
    <n v="314.10000000000002"/>
    <x v="69"/>
    <d v="2025-03-13T00:00:00"/>
    <x v="2"/>
    <x v="0"/>
    <x v="1"/>
    <x v="0"/>
    <x v="7"/>
    <x v="1"/>
    <x v="10"/>
    <x v="2"/>
  </r>
  <r>
    <x v="1915"/>
    <x v="1"/>
    <x v="1"/>
    <n v="80.599999999999994"/>
    <n v="161.19999999999999"/>
    <x v="69"/>
    <d v="2025-03-11T00:00:00"/>
    <x v="2"/>
    <x v="1"/>
    <x v="0"/>
    <x v="0"/>
    <x v="8"/>
    <x v="7"/>
    <x v="10"/>
    <x v="2"/>
  </r>
  <r>
    <x v="1916"/>
    <x v="6"/>
    <x v="0"/>
    <n v="65.5"/>
    <n v="65.5"/>
    <x v="69"/>
    <d v="2025-03-13T00:00:00"/>
    <x v="3"/>
    <x v="1"/>
    <x v="0"/>
    <x v="0"/>
    <x v="8"/>
    <x v="1"/>
    <x v="10"/>
    <x v="3"/>
  </r>
  <r>
    <x v="1917"/>
    <x v="9"/>
    <x v="2"/>
    <n v="61.4"/>
    <n v="184.2"/>
    <x v="69"/>
    <d v="2025-03-13T00:00:00"/>
    <x v="2"/>
    <x v="4"/>
    <x v="2"/>
    <x v="0"/>
    <x v="8"/>
    <x v="1"/>
    <x v="10"/>
    <x v="2"/>
  </r>
  <r>
    <x v="1918"/>
    <x v="0"/>
    <x v="0"/>
    <n v="12.5"/>
    <n v="12.5"/>
    <x v="70"/>
    <d v="2025-03-15T00:00:00"/>
    <x v="2"/>
    <x v="0"/>
    <x v="1"/>
    <x v="0"/>
    <x v="8"/>
    <x v="2"/>
    <x v="10"/>
    <x v="2"/>
  </r>
  <r>
    <x v="1919"/>
    <x v="4"/>
    <x v="12"/>
    <n v="35.1"/>
    <n v="140.4"/>
    <x v="70"/>
    <d v="2025-03-13T00:00:00"/>
    <x v="1"/>
    <x v="2"/>
    <x v="1"/>
    <x v="0"/>
    <x v="17"/>
    <x v="3"/>
    <x v="10"/>
    <x v="1"/>
  </r>
  <r>
    <x v="1920"/>
    <x v="5"/>
    <x v="1"/>
    <n v="55.7"/>
    <n v="111.4"/>
    <x v="70"/>
    <d v="2025-03-13T00:00:00"/>
    <x v="1"/>
    <x v="0"/>
    <x v="1"/>
    <x v="0"/>
    <x v="26"/>
    <x v="3"/>
    <x v="10"/>
    <x v="1"/>
  </r>
  <r>
    <x v="1921"/>
    <x v="7"/>
    <x v="1"/>
    <n v="57.7"/>
    <n v="115.4"/>
    <x v="70"/>
    <d v="2025-03-14T00:00:00"/>
    <x v="1"/>
    <x v="4"/>
    <x v="1"/>
    <x v="0"/>
    <x v="9"/>
    <x v="1"/>
    <x v="10"/>
    <x v="1"/>
  </r>
  <r>
    <x v="1922"/>
    <x v="2"/>
    <x v="13"/>
    <n v="85.7"/>
    <n v="514.20000000000005"/>
    <x v="70"/>
    <d v="2025-03-13T00:00:00"/>
    <x v="1"/>
    <x v="3"/>
    <x v="2"/>
    <x v="0"/>
    <x v="9"/>
    <x v="3"/>
    <x v="10"/>
    <x v="1"/>
  </r>
  <r>
    <x v="1923"/>
    <x v="2"/>
    <x v="2"/>
    <n v="86.9"/>
    <n v="260.70000000000005"/>
    <x v="70"/>
    <d v="2025-03-14T00:00:00"/>
    <x v="2"/>
    <x v="1"/>
    <x v="0"/>
    <x v="0"/>
    <x v="11"/>
    <x v="1"/>
    <x v="10"/>
    <x v="2"/>
  </r>
  <r>
    <x v="1924"/>
    <x v="18"/>
    <x v="1"/>
    <n v="46.4"/>
    <n v="92.8"/>
    <x v="70"/>
    <d v="2025-03-15T00:00:00"/>
    <x v="2"/>
    <x v="4"/>
    <x v="0"/>
    <x v="0"/>
    <x v="11"/>
    <x v="2"/>
    <x v="10"/>
    <x v="2"/>
  </r>
  <r>
    <x v="1925"/>
    <x v="5"/>
    <x v="2"/>
    <n v="25.4"/>
    <n v="76.199999999999989"/>
    <x v="70"/>
    <d v="2025-03-12T00:00:00"/>
    <x v="2"/>
    <x v="2"/>
    <x v="2"/>
    <x v="0"/>
    <x v="18"/>
    <x v="7"/>
    <x v="10"/>
    <x v="2"/>
  </r>
  <r>
    <x v="1926"/>
    <x v="10"/>
    <x v="2"/>
    <n v="47.8"/>
    <n v="143.39999999999998"/>
    <x v="70"/>
    <d v="2025-03-12T00:00:00"/>
    <x v="0"/>
    <x v="2"/>
    <x v="2"/>
    <x v="0"/>
    <x v="19"/>
    <x v="7"/>
    <x v="10"/>
    <x v="0"/>
  </r>
  <r>
    <x v="1927"/>
    <x v="8"/>
    <x v="10"/>
    <n v="18.399999999999999"/>
    <n v="349.59999999999997"/>
    <x v="70"/>
    <d v="2025-03-14T00:00:00"/>
    <x v="3"/>
    <x v="2"/>
    <x v="0"/>
    <x v="0"/>
    <x v="20"/>
    <x v="1"/>
    <x v="10"/>
    <x v="3"/>
  </r>
  <r>
    <x v="1928"/>
    <x v="12"/>
    <x v="2"/>
    <n v="65.5"/>
    <n v="196.5"/>
    <x v="70"/>
    <d v="2025-03-20T00:00:00"/>
    <x v="2"/>
    <x v="0"/>
    <x v="0"/>
    <x v="0"/>
    <x v="21"/>
    <x v="9"/>
    <x v="10"/>
    <x v="2"/>
  </r>
  <r>
    <x v="1929"/>
    <x v="10"/>
    <x v="1"/>
    <n v="50.6"/>
    <n v="101.2"/>
    <x v="70"/>
    <d v="2025-03-15T00:00:00"/>
    <x v="1"/>
    <x v="2"/>
    <x v="4"/>
    <x v="0"/>
    <x v="21"/>
    <x v="2"/>
    <x v="10"/>
    <x v="1"/>
  </r>
  <r>
    <x v="1930"/>
    <x v="3"/>
    <x v="9"/>
    <n v="69"/>
    <n v="345"/>
    <x v="70"/>
    <d v="2025-03-16T00:00:00"/>
    <x v="1"/>
    <x v="3"/>
    <x v="0"/>
    <x v="0"/>
    <x v="21"/>
    <x v="5"/>
    <x v="10"/>
    <x v="1"/>
  </r>
  <r>
    <x v="1931"/>
    <x v="9"/>
    <x v="8"/>
    <n v="51.1"/>
    <n v="408.8"/>
    <x v="70"/>
    <d v="2025-03-14T00:00:00"/>
    <x v="2"/>
    <x v="0"/>
    <x v="0"/>
    <x v="0"/>
    <x v="1"/>
    <x v="1"/>
    <x v="10"/>
    <x v="2"/>
  </r>
  <r>
    <x v="1932"/>
    <x v="9"/>
    <x v="0"/>
    <n v="36.1"/>
    <n v="36.1"/>
    <x v="70"/>
    <d v="2025-03-13T00:00:00"/>
    <x v="2"/>
    <x v="0"/>
    <x v="2"/>
    <x v="0"/>
    <x v="34"/>
    <x v="3"/>
    <x v="10"/>
    <x v="2"/>
  </r>
  <r>
    <x v="1933"/>
    <x v="14"/>
    <x v="0"/>
    <n v="18.7"/>
    <n v="18.7"/>
    <x v="70"/>
    <d v="2025-03-13T00:00:00"/>
    <x v="1"/>
    <x v="0"/>
    <x v="0"/>
    <x v="0"/>
    <x v="3"/>
    <x v="3"/>
    <x v="10"/>
    <x v="1"/>
  </r>
  <r>
    <x v="1934"/>
    <x v="17"/>
    <x v="0"/>
    <n v="30.1"/>
    <n v="30.1"/>
    <x v="70"/>
    <d v="2025-03-15T00:00:00"/>
    <x v="2"/>
    <x v="3"/>
    <x v="1"/>
    <x v="0"/>
    <x v="3"/>
    <x v="2"/>
    <x v="10"/>
    <x v="2"/>
  </r>
  <r>
    <x v="1935"/>
    <x v="8"/>
    <x v="0"/>
    <n v="16.3"/>
    <n v="16.3"/>
    <x v="70"/>
    <d v="2025-03-13T00:00:00"/>
    <x v="1"/>
    <x v="3"/>
    <x v="0"/>
    <x v="0"/>
    <x v="3"/>
    <x v="3"/>
    <x v="10"/>
    <x v="1"/>
  </r>
  <r>
    <x v="1936"/>
    <x v="1"/>
    <x v="2"/>
    <n v="63.8"/>
    <n v="191.39999999999998"/>
    <x v="70"/>
    <d v="2025-03-17T00:00:00"/>
    <x v="2"/>
    <x v="2"/>
    <x v="1"/>
    <x v="0"/>
    <x v="3"/>
    <x v="0"/>
    <x v="10"/>
    <x v="2"/>
  </r>
  <r>
    <x v="1937"/>
    <x v="1"/>
    <x v="3"/>
    <n v="73.900000000000006"/>
    <n v="517.30000000000007"/>
    <x v="70"/>
    <d v="2025-03-12T00:00:00"/>
    <x v="2"/>
    <x v="0"/>
    <x v="1"/>
    <x v="0"/>
    <x v="3"/>
    <x v="7"/>
    <x v="10"/>
    <x v="2"/>
  </r>
  <r>
    <x v="1938"/>
    <x v="0"/>
    <x v="1"/>
    <n v="20.2"/>
    <n v="40.4"/>
    <x v="70"/>
    <d v="2025-03-13T00:00:00"/>
    <x v="1"/>
    <x v="0"/>
    <x v="1"/>
    <x v="0"/>
    <x v="3"/>
    <x v="3"/>
    <x v="10"/>
    <x v="1"/>
  </r>
  <r>
    <x v="1939"/>
    <x v="11"/>
    <x v="5"/>
    <n v="29.5"/>
    <n v="324.5"/>
    <x v="70"/>
    <d v="2025-03-13T00:00:00"/>
    <x v="1"/>
    <x v="0"/>
    <x v="0"/>
    <x v="0"/>
    <x v="3"/>
    <x v="3"/>
    <x v="10"/>
    <x v="1"/>
  </r>
  <r>
    <x v="1940"/>
    <x v="15"/>
    <x v="3"/>
    <n v="37.9"/>
    <n v="265.3"/>
    <x v="70"/>
    <d v="2025-03-13T00:00:00"/>
    <x v="1"/>
    <x v="1"/>
    <x v="0"/>
    <x v="0"/>
    <x v="3"/>
    <x v="3"/>
    <x v="10"/>
    <x v="1"/>
  </r>
  <r>
    <x v="1941"/>
    <x v="2"/>
    <x v="0"/>
    <n v="56.5"/>
    <n v="56.5"/>
    <x v="70"/>
    <d v="2025-03-13T00:00:00"/>
    <x v="2"/>
    <x v="2"/>
    <x v="1"/>
    <x v="0"/>
    <x v="3"/>
    <x v="3"/>
    <x v="10"/>
    <x v="2"/>
  </r>
  <r>
    <x v="1942"/>
    <x v="2"/>
    <x v="1"/>
    <n v="66.900000000000006"/>
    <n v="133.80000000000001"/>
    <x v="70"/>
    <d v="2025-03-18T00:00:00"/>
    <x v="1"/>
    <x v="1"/>
    <x v="4"/>
    <x v="0"/>
    <x v="25"/>
    <x v="4"/>
    <x v="10"/>
    <x v="1"/>
  </r>
  <r>
    <x v="1943"/>
    <x v="2"/>
    <x v="9"/>
    <n v="51.9"/>
    <n v="259.5"/>
    <x v="70"/>
    <d v="2025-03-15T00:00:00"/>
    <x v="1"/>
    <x v="1"/>
    <x v="0"/>
    <x v="0"/>
    <x v="7"/>
    <x v="2"/>
    <x v="10"/>
    <x v="1"/>
  </r>
  <r>
    <x v="1944"/>
    <x v="2"/>
    <x v="1"/>
    <n v="75.599999999999994"/>
    <n v="151.19999999999999"/>
    <x v="70"/>
    <d v="2025-03-15T00:00:00"/>
    <x v="1"/>
    <x v="1"/>
    <x v="0"/>
    <x v="0"/>
    <x v="8"/>
    <x v="2"/>
    <x v="10"/>
    <x v="1"/>
  </r>
  <r>
    <x v="1945"/>
    <x v="12"/>
    <x v="13"/>
    <n v="47.3"/>
    <n v="283.79999999999995"/>
    <x v="70"/>
    <d v="2025-03-23T00:00:00"/>
    <x v="1"/>
    <x v="0"/>
    <x v="0"/>
    <x v="0"/>
    <x v="8"/>
    <x v="11"/>
    <x v="10"/>
    <x v="1"/>
  </r>
  <r>
    <x v="1946"/>
    <x v="4"/>
    <x v="0"/>
    <n v="20.6"/>
    <n v="20.6"/>
    <x v="70"/>
    <d v="2025-03-13T00:00:00"/>
    <x v="0"/>
    <x v="0"/>
    <x v="1"/>
    <x v="0"/>
    <x v="8"/>
    <x v="3"/>
    <x v="10"/>
    <x v="0"/>
  </r>
  <r>
    <x v="1947"/>
    <x v="6"/>
    <x v="2"/>
    <n v="49.7"/>
    <n v="149.10000000000002"/>
    <x v="70"/>
    <d v="2025-03-14T00:00:00"/>
    <x v="1"/>
    <x v="0"/>
    <x v="1"/>
    <x v="0"/>
    <x v="8"/>
    <x v="1"/>
    <x v="10"/>
    <x v="1"/>
  </r>
  <r>
    <x v="1948"/>
    <x v="3"/>
    <x v="0"/>
    <n v="37.9"/>
    <n v="37.9"/>
    <x v="70"/>
    <d v="2025-03-14T00:00:00"/>
    <x v="2"/>
    <x v="0"/>
    <x v="0"/>
    <x v="0"/>
    <x v="8"/>
    <x v="1"/>
    <x v="10"/>
    <x v="2"/>
  </r>
  <r>
    <x v="1949"/>
    <x v="13"/>
    <x v="20"/>
    <n v="32"/>
    <n v="480"/>
    <x v="70"/>
    <d v="2025-03-14T00:00:00"/>
    <x v="2"/>
    <x v="4"/>
    <x v="0"/>
    <x v="0"/>
    <x v="11"/>
    <x v="1"/>
    <x v="10"/>
    <x v="2"/>
  </r>
  <r>
    <x v="1950"/>
    <x v="10"/>
    <x v="16"/>
    <n v="38.5"/>
    <n v="693"/>
    <x v="71"/>
    <d v="2025-03-14T00:00:00"/>
    <x v="1"/>
    <x v="0"/>
    <x v="2"/>
    <x v="0"/>
    <x v="11"/>
    <x v="3"/>
    <x v="10"/>
    <x v="1"/>
  </r>
  <r>
    <x v="1951"/>
    <x v="0"/>
    <x v="12"/>
    <n v="11.7"/>
    <n v="46.8"/>
    <x v="71"/>
    <d v="2025-03-15T00:00:00"/>
    <x v="2"/>
    <x v="1"/>
    <x v="0"/>
    <x v="0"/>
    <x v="20"/>
    <x v="1"/>
    <x v="10"/>
    <x v="2"/>
  </r>
  <r>
    <x v="1952"/>
    <x v="3"/>
    <x v="13"/>
    <n v="83.8"/>
    <n v="502.79999999999995"/>
    <x v="71"/>
    <d v="2025-03-14T00:00:00"/>
    <x v="1"/>
    <x v="0"/>
    <x v="0"/>
    <x v="0"/>
    <x v="21"/>
    <x v="3"/>
    <x v="10"/>
    <x v="1"/>
  </r>
  <r>
    <x v="1953"/>
    <x v="0"/>
    <x v="3"/>
    <n v="14"/>
    <n v="98"/>
    <x v="71"/>
    <d v="2025-03-16T00:00:00"/>
    <x v="1"/>
    <x v="0"/>
    <x v="1"/>
    <x v="0"/>
    <x v="22"/>
    <x v="2"/>
    <x v="10"/>
    <x v="1"/>
  </r>
  <r>
    <x v="1954"/>
    <x v="16"/>
    <x v="12"/>
    <n v="77.3"/>
    <n v="309.2"/>
    <x v="71"/>
    <d v="2025-03-15T00:00:00"/>
    <x v="2"/>
    <x v="4"/>
    <x v="2"/>
    <x v="0"/>
    <x v="3"/>
    <x v="1"/>
    <x v="10"/>
    <x v="2"/>
  </r>
  <r>
    <x v="1955"/>
    <x v="2"/>
    <x v="1"/>
    <n v="76.900000000000006"/>
    <n v="153.80000000000001"/>
    <x v="71"/>
    <d v="2025-03-17T00:00:00"/>
    <x v="2"/>
    <x v="0"/>
    <x v="1"/>
    <x v="0"/>
    <x v="3"/>
    <x v="5"/>
    <x v="10"/>
    <x v="2"/>
  </r>
  <r>
    <x v="1956"/>
    <x v="1"/>
    <x v="0"/>
    <n v="48"/>
    <n v="48"/>
    <x v="71"/>
    <d v="2025-03-15T00:00:00"/>
    <x v="2"/>
    <x v="1"/>
    <x v="2"/>
    <x v="0"/>
    <x v="3"/>
    <x v="1"/>
    <x v="10"/>
    <x v="2"/>
  </r>
  <r>
    <x v="1957"/>
    <x v="2"/>
    <x v="0"/>
    <n v="94.5"/>
    <n v="94.5"/>
    <x v="71"/>
    <d v="2025-03-16T00:00:00"/>
    <x v="1"/>
    <x v="1"/>
    <x v="1"/>
    <x v="0"/>
    <x v="3"/>
    <x v="2"/>
    <x v="10"/>
    <x v="1"/>
  </r>
  <r>
    <x v="1958"/>
    <x v="10"/>
    <x v="2"/>
    <n v="58.4"/>
    <n v="175.2"/>
    <x v="71"/>
    <d v="2025-03-15T00:00:00"/>
    <x v="2"/>
    <x v="1"/>
    <x v="2"/>
    <x v="0"/>
    <x v="3"/>
    <x v="1"/>
    <x v="10"/>
    <x v="2"/>
  </r>
  <r>
    <x v="1959"/>
    <x v="7"/>
    <x v="15"/>
    <n v="42.2"/>
    <n v="548.6"/>
    <x v="71"/>
    <d v="2025-03-13T00:00:00"/>
    <x v="1"/>
    <x v="0"/>
    <x v="0"/>
    <x v="0"/>
    <x v="25"/>
    <x v="7"/>
    <x v="10"/>
    <x v="1"/>
  </r>
  <r>
    <x v="1960"/>
    <x v="6"/>
    <x v="1"/>
    <n v="152.19999999999999"/>
    <n v="304.39999999999998"/>
    <x v="71"/>
    <d v="2025-03-14T00:00:00"/>
    <x v="1"/>
    <x v="4"/>
    <x v="1"/>
    <x v="0"/>
    <x v="25"/>
    <x v="3"/>
    <x v="10"/>
    <x v="1"/>
  </r>
  <r>
    <x v="1961"/>
    <x v="6"/>
    <x v="25"/>
    <n v="72"/>
    <n v="1728"/>
    <x v="71"/>
    <d v="2025-03-14T00:00:00"/>
    <x v="1"/>
    <x v="0"/>
    <x v="1"/>
    <x v="0"/>
    <x v="6"/>
    <x v="3"/>
    <x v="10"/>
    <x v="1"/>
  </r>
  <r>
    <x v="1962"/>
    <x v="1"/>
    <x v="44"/>
    <n v="70.900000000000006"/>
    <n v="1630.7"/>
    <x v="71"/>
    <d v="2025-03-14T00:00:00"/>
    <x v="2"/>
    <x v="2"/>
    <x v="0"/>
    <x v="0"/>
    <x v="8"/>
    <x v="3"/>
    <x v="10"/>
    <x v="2"/>
  </r>
  <r>
    <x v="1963"/>
    <x v="2"/>
    <x v="1"/>
    <n v="53.7"/>
    <n v="107.4"/>
    <x v="71"/>
    <d v="2025-03-14T00:00:00"/>
    <x v="1"/>
    <x v="2"/>
    <x v="2"/>
    <x v="0"/>
    <x v="8"/>
    <x v="3"/>
    <x v="10"/>
    <x v="1"/>
  </r>
  <r>
    <x v="1964"/>
    <x v="9"/>
    <x v="12"/>
    <n v="42.9"/>
    <n v="171.6"/>
    <x v="71"/>
    <d v="2025-03-14T00:00:00"/>
    <x v="2"/>
    <x v="2"/>
    <x v="4"/>
    <x v="0"/>
    <x v="9"/>
    <x v="3"/>
    <x v="10"/>
    <x v="2"/>
  </r>
  <r>
    <x v="1965"/>
    <x v="2"/>
    <x v="3"/>
    <n v="107.5"/>
    <n v="752.5"/>
    <x v="71"/>
    <d v="2025-03-14T00:00:00"/>
    <x v="1"/>
    <x v="1"/>
    <x v="0"/>
    <x v="0"/>
    <x v="11"/>
    <x v="3"/>
    <x v="10"/>
    <x v="1"/>
  </r>
  <r>
    <x v="1966"/>
    <x v="17"/>
    <x v="27"/>
    <n v="21.5"/>
    <n v="344"/>
    <x v="71"/>
    <d v="2025-03-14T00:00:00"/>
    <x v="1"/>
    <x v="1"/>
    <x v="1"/>
    <x v="0"/>
    <x v="32"/>
    <x v="3"/>
    <x v="10"/>
    <x v="1"/>
  </r>
  <r>
    <x v="1967"/>
    <x v="3"/>
    <x v="9"/>
    <n v="85.3"/>
    <n v="426.5"/>
    <x v="71"/>
    <d v="2025-03-15T00:00:00"/>
    <x v="2"/>
    <x v="3"/>
    <x v="0"/>
    <x v="0"/>
    <x v="18"/>
    <x v="1"/>
    <x v="10"/>
    <x v="2"/>
  </r>
  <r>
    <x v="1968"/>
    <x v="7"/>
    <x v="9"/>
    <n v="80.8"/>
    <n v="404"/>
    <x v="71"/>
    <d v="2025-03-21T00:00:00"/>
    <x v="3"/>
    <x v="1"/>
    <x v="1"/>
    <x v="0"/>
    <x v="19"/>
    <x v="9"/>
    <x v="10"/>
    <x v="3"/>
  </r>
  <r>
    <x v="1969"/>
    <x v="2"/>
    <x v="2"/>
    <n v="123.1"/>
    <n v="369.29999999999995"/>
    <x v="71"/>
    <d v="2025-03-15T00:00:00"/>
    <x v="0"/>
    <x v="2"/>
    <x v="0"/>
    <x v="0"/>
    <x v="21"/>
    <x v="1"/>
    <x v="10"/>
    <x v="0"/>
  </r>
  <r>
    <x v="1970"/>
    <x v="8"/>
    <x v="1"/>
    <n v="36.9"/>
    <n v="73.8"/>
    <x v="71"/>
    <d v="2025-03-15T00:00:00"/>
    <x v="2"/>
    <x v="2"/>
    <x v="4"/>
    <x v="0"/>
    <x v="51"/>
    <x v="1"/>
    <x v="10"/>
    <x v="2"/>
  </r>
  <r>
    <x v="1971"/>
    <x v="11"/>
    <x v="9"/>
    <n v="40"/>
    <n v="200"/>
    <x v="71"/>
    <d v="2025-03-14T00:00:00"/>
    <x v="1"/>
    <x v="0"/>
    <x v="0"/>
    <x v="0"/>
    <x v="1"/>
    <x v="3"/>
    <x v="10"/>
    <x v="1"/>
  </r>
  <r>
    <x v="1972"/>
    <x v="6"/>
    <x v="2"/>
    <n v="55.5"/>
    <n v="166.5"/>
    <x v="71"/>
    <d v="2025-03-14T00:00:00"/>
    <x v="1"/>
    <x v="4"/>
    <x v="2"/>
    <x v="0"/>
    <x v="1"/>
    <x v="3"/>
    <x v="10"/>
    <x v="1"/>
  </r>
  <r>
    <x v="1973"/>
    <x v="0"/>
    <x v="12"/>
    <n v="20.5"/>
    <n v="82"/>
    <x v="71"/>
    <d v="2025-03-17T00:00:00"/>
    <x v="2"/>
    <x v="4"/>
    <x v="0"/>
    <x v="0"/>
    <x v="1"/>
    <x v="5"/>
    <x v="10"/>
    <x v="2"/>
  </r>
  <r>
    <x v="1974"/>
    <x v="18"/>
    <x v="12"/>
    <n v="50.1"/>
    <n v="200.4"/>
    <x v="71"/>
    <d v="2025-03-14T00:00:00"/>
    <x v="2"/>
    <x v="4"/>
    <x v="0"/>
    <x v="0"/>
    <x v="1"/>
    <x v="3"/>
    <x v="10"/>
    <x v="2"/>
  </r>
  <r>
    <x v="1975"/>
    <x v="9"/>
    <x v="0"/>
    <n v="35.9"/>
    <n v="35.9"/>
    <x v="71"/>
    <d v="2025-03-15T00:00:00"/>
    <x v="1"/>
    <x v="1"/>
    <x v="2"/>
    <x v="0"/>
    <x v="1"/>
    <x v="1"/>
    <x v="10"/>
    <x v="1"/>
  </r>
  <r>
    <x v="1976"/>
    <x v="13"/>
    <x v="12"/>
    <n v="29.4"/>
    <n v="117.6"/>
    <x v="72"/>
    <d v="2025-03-15T00:00:00"/>
    <x v="1"/>
    <x v="2"/>
    <x v="2"/>
    <x v="0"/>
    <x v="33"/>
    <x v="3"/>
    <x v="10"/>
    <x v="1"/>
  </r>
  <r>
    <x v="1977"/>
    <x v="8"/>
    <x v="9"/>
    <n v="29.1"/>
    <n v="145.5"/>
    <x v="72"/>
    <d v="2025-03-22T00:00:00"/>
    <x v="3"/>
    <x v="2"/>
    <x v="1"/>
    <x v="0"/>
    <x v="33"/>
    <x v="9"/>
    <x v="10"/>
    <x v="3"/>
  </r>
  <r>
    <x v="1978"/>
    <x v="8"/>
    <x v="2"/>
    <n v="33.5"/>
    <n v="100.5"/>
    <x v="72"/>
    <d v="2025-03-26T00:00:00"/>
    <x v="1"/>
    <x v="0"/>
    <x v="2"/>
    <x v="0"/>
    <x v="22"/>
    <x v="13"/>
    <x v="10"/>
    <x v="1"/>
  </r>
  <r>
    <x v="1979"/>
    <x v="4"/>
    <x v="7"/>
    <n v="36"/>
    <n v="360"/>
    <x v="72"/>
    <d v="2025-03-14T00:00:00"/>
    <x v="1"/>
    <x v="3"/>
    <x v="2"/>
    <x v="0"/>
    <x v="3"/>
    <x v="7"/>
    <x v="10"/>
    <x v="1"/>
  </r>
  <r>
    <x v="1980"/>
    <x v="16"/>
    <x v="2"/>
    <n v="57.3"/>
    <n v="171.89999999999998"/>
    <x v="72"/>
    <d v="2025-03-18T00:00:00"/>
    <x v="2"/>
    <x v="0"/>
    <x v="2"/>
    <x v="0"/>
    <x v="3"/>
    <x v="5"/>
    <x v="10"/>
    <x v="2"/>
  </r>
  <r>
    <x v="1981"/>
    <x v="1"/>
    <x v="0"/>
    <n v="81.400000000000006"/>
    <n v="81.400000000000006"/>
    <x v="72"/>
    <d v="2025-03-15T00:00:00"/>
    <x v="2"/>
    <x v="2"/>
    <x v="2"/>
    <x v="0"/>
    <x v="3"/>
    <x v="3"/>
    <x v="10"/>
    <x v="2"/>
  </r>
  <r>
    <x v="1982"/>
    <x v="10"/>
    <x v="1"/>
    <n v="35.299999999999997"/>
    <n v="70.599999999999994"/>
    <x v="72"/>
    <d v="2025-03-18T00:00:00"/>
    <x v="1"/>
    <x v="0"/>
    <x v="2"/>
    <x v="0"/>
    <x v="3"/>
    <x v="5"/>
    <x v="10"/>
    <x v="1"/>
  </r>
  <r>
    <x v="1983"/>
    <x v="3"/>
    <x v="0"/>
    <n v="36.1"/>
    <n v="36.1"/>
    <x v="72"/>
    <d v="2025-03-15T00:00:00"/>
    <x v="2"/>
    <x v="4"/>
    <x v="0"/>
    <x v="0"/>
    <x v="3"/>
    <x v="3"/>
    <x v="10"/>
    <x v="2"/>
  </r>
  <r>
    <x v="1984"/>
    <x v="1"/>
    <x v="1"/>
    <n v="36.700000000000003"/>
    <n v="73.400000000000006"/>
    <x v="72"/>
    <d v="2025-03-16T00:00:00"/>
    <x v="2"/>
    <x v="0"/>
    <x v="2"/>
    <x v="0"/>
    <x v="3"/>
    <x v="1"/>
    <x v="10"/>
    <x v="2"/>
  </r>
  <r>
    <x v="1985"/>
    <x v="10"/>
    <x v="0"/>
    <n v="20.9"/>
    <n v="20.9"/>
    <x v="72"/>
    <d v="2025-03-16T00:00:00"/>
    <x v="2"/>
    <x v="0"/>
    <x v="4"/>
    <x v="0"/>
    <x v="3"/>
    <x v="1"/>
    <x v="10"/>
    <x v="2"/>
  </r>
  <r>
    <x v="1986"/>
    <x v="12"/>
    <x v="2"/>
    <n v="58.8"/>
    <n v="176.39999999999998"/>
    <x v="72"/>
    <d v="2025-03-18T00:00:00"/>
    <x v="1"/>
    <x v="0"/>
    <x v="2"/>
    <x v="0"/>
    <x v="25"/>
    <x v="5"/>
    <x v="10"/>
    <x v="1"/>
  </r>
  <r>
    <x v="1987"/>
    <x v="2"/>
    <x v="2"/>
    <n v="97.6"/>
    <n v="292.79999999999995"/>
    <x v="73"/>
    <d v="2025-03-17T00:00:00"/>
    <x v="0"/>
    <x v="0"/>
    <x v="0"/>
    <x v="0"/>
    <x v="6"/>
    <x v="1"/>
    <x v="10"/>
    <x v="0"/>
  </r>
  <r>
    <x v="1988"/>
    <x v="1"/>
    <x v="1"/>
    <n v="58.7"/>
    <n v="117.4"/>
    <x v="73"/>
    <d v="2025-03-18T00:00:00"/>
    <x v="2"/>
    <x v="0"/>
    <x v="1"/>
    <x v="0"/>
    <x v="6"/>
    <x v="2"/>
    <x v="10"/>
    <x v="2"/>
  </r>
  <r>
    <x v="1989"/>
    <x v="6"/>
    <x v="9"/>
    <n v="71.900000000000006"/>
    <n v="359.5"/>
    <x v="73"/>
    <d v="2025-03-16T00:00:00"/>
    <x v="0"/>
    <x v="0"/>
    <x v="1"/>
    <x v="0"/>
    <x v="6"/>
    <x v="3"/>
    <x v="10"/>
    <x v="0"/>
  </r>
  <r>
    <x v="1990"/>
    <x v="1"/>
    <x v="1"/>
    <n v="62.4"/>
    <n v="124.8"/>
    <x v="73"/>
    <d v="2025-03-17T00:00:00"/>
    <x v="0"/>
    <x v="0"/>
    <x v="1"/>
    <x v="0"/>
    <x v="8"/>
    <x v="1"/>
    <x v="10"/>
    <x v="0"/>
  </r>
  <r>
    <x v="1991"/>
    <x v="6"/>
    <x v="27"/>
    <n v="53.8"/>
    <n v="860.8"/>
    <x v="73"/>
    <d v="2025-03-16T00:00:00"/>
    <x v="2"/>
    <x v="1"/>
    <x v="0"/>
    <x v="0"/>
    <x v="8"/>
    <x v="3"/>
    <x v="10"/>
    <x v="2"/>
  </r>
  <r>
    <x v="1992"/>
    <x v="9"/>
    <x v="0"/>
    <n v="43.8"/>
    <n v="43.8"/>
    <x v="73"/>
    <d v="2025-03-22T00:00:00"/>
    <x v="2"/>
    <x v="0"/>
    <x v="2"/>
    <x v="0"/>
    <x v="8"/>
    <x v="6"/>
    <x v="10"/>
    <x v="2"/>
  </r>
  <r>
    <x v="1993"/>
    <x v="5"/>
    <x v="2"/>
    <n v="53.6"/>
    <n v="160.80000000000001"/>
    <x v="73"/>
    <d v="2025-03-16T00:00:00"/>
    <x v="1"/>
    <x v="3"/>
    <x v="0"/>
    <x v="0"/>
    <x v="8"/>
    <x v="3"/>
    <x v="10"/>
    <x v="1"/>
  </r>
  <r>
    <x v="1994"/>
    <x v="12"/>
    <x v="1"/>
    <n v="84.3"/>
    <n v="168.6"/>
    <x v="73"/>
    <d v="2025-03-18T00:00:00"/>
    <x v="1"/>
    <x v="4"/>
    <x v="1"/>
    <x v="0"/>
    <x v="8"/>
    <x v="2"/>
    <x v="10"/>
    <x v="1"/>
  </r>
  <r>
    <x v="1995"/>
    <x v="6"/>
    <x v="11"/>
    <n v="117.9"/>
    <n v="1061.1000000000001"/>
    <x v="73"/>
    <d v="2025-03-16T00:00:00"/>
    <x v="2"/>
    <x v="1"/>
    <x v="2"/>
    <x v="0"/>
    <x v="8"/>
    <x v="3"/>
    <x v="10"/>
    <x v="2"/>
  </r>
  <r>
    <x v="1996"/>
    <x v="4"/>
    <x v="8"/>
    <n v="30"/>
    <n v="240"/>
    <x v="73"/>
    <d v="2025-03-16T00:00:00"/>
    <x v="2"/>
    <x v="1"/>
    <x v="0"/>
    <x v="0"/>
    <x v="26"/>
    <x v="3"/>
    <x v="10"/>
    <x v="2"/>
  </r>
  <r>
    <x v="1997"/>
    <x v="14"/>
    <x v="2"/>
    <n v="37.299999999999997"/>
    <n v="111.89999999999999"/>
    <x v="73"/>
    <d v="2025-03-16T00:00:00"/>
    <x v="1"/>
    <x v="2"/>
    <x v="0"/>
    <x v="0"/>
    <x v="9"/>
    <x v="3"/>
    <x v="10"/>
    <x v="1"/>
  </r>
  <r>
    <x v="1998"/>
    <x v="4"/>
    <x v="11"/>
    <n v="25.1"/>
    <n v="225.9"/>
    <x v="73"/>
    <d v="2025-03-17T00:00:00"/>
    <x v="1"/>
    <x v="1"/>
    <x v="2"/>
    <x v="0"/>
    <x v="11"/>
    <x v="1"/>
    <x v="10"/>
    <x v="1"/>
  </r>
  <r>
    <x v="1999"/>
    <x v="8"/>
    <x v="5"/>
    <n v="36"/>
    <n v="396"/>
    <x v="73"/>
    <d v="2025-03-25T00:00:00"/>
    <x v="1"/>
    <x v="1"/>
    <x v="0"/>
    <x v="0"/>
    <x v="18"/>
    <x v="14"/>
    <x v="10"/>
    <x v="1"/>
  </r>
  <r>
    <x v="2000"/>
    <x v="16"/>
    <x v="2"/>
    <n v="48.5"/>
    <n v="145.5"/>
    <x v="73"/>
    <d v="2025-03-19T00:00:00"/>
    <x v="2"/>
    <x v="1"/>
    <x v="0"/>
    <x v="0"/>
    <x v="19"/>
    <x v="5"/>
    <x v="10"/>
    <x v="2"/>
  </r>
  <r>
    <x v="2001"/>
    <x v="17"/>
    <x v="13"/>
    <n v="21.1"/>
    <n v="126.60000000000001"/>
    <x v="73"/>
    <d v="2025-03-16T00:00:00"/>
    <x v="1"/>
    <x v="1"/>
    <x v="2"/>
    <x v="0"/>
    <x v="21"/>
    <x v="3"/>
    <x v="10"/>
    <x v="1"/>
  </r>
  <r>
    <x v="2002"/>
    <x v="15"/>
    <x v="21"/>
    <n v="43.2"/>
    <n v="604.80000000000007"/>
    <x v="73"/>
    <d v="2025-03-16T00:00:00"/>
    <x v="3"/>
    <x v="0"/>
    <x v="1"/>
    <x v="0"/>
    <x v="21"/>
    <x v="3"/>
    <x v="10"/>
    <x v="3"/>
  </r>
  <r>
    <x v="2003"/>
    <x v="9"/>
    <x v="1"/>
    <n v="21.1"/>
    <n v="42.2"/>
    <x v="73"/>
    <d v="2025-03-16T00:00:00"/>
    <x v="0"/>
    <x v="3"/>
    <x v="1"/>
    <x v="0"/>
    <x v="21"/>
    <x v="3"/>
    <x v="10"/>
    <x v="0"/>
  </r>
  <r>
    <x v="2004"/>
    <x v="6"/>
    <x v="12"/>
    <n v="41.3"/>
    <n v="165.2"/>
    <x v="73"/>
    <d v="2025-03-17T00:00:00"/>
    <x v="2"/>
    <x v="3"/>
    <x v="2"/>
    <x v="0"/>
    <x v="1"/>
    <x v="1"/>
    <x v="10"/>
    <x v="2"/>
  </r>
  <r>
    <x v="2005"/>
    <x v="8"/>
    <x v="1"/>
    <n v="15.3"/>
    <n v="30.6"/>
    <x v="73"/>
    <d v="2025-03-18T00:00:00"/>
    <x v="0"/>
    <x v="2"/>
    <x v="2"/>
    <x v="0"/>
    <x v="1"/>
    <x v="2"/>
    <x v="10"/>
    <x v="0"/>
  </r>
  <r>
    <x v="2006"/>
    <x v="1"/>
    <x v="0"/>
    <n v="54.6"/>
    <n v="54.6"/>
    <x v="73"/>
    <d v="2025-03-17T00:00:00"/>
    <x v="1"/>
    <x v="1"/>
    <x v="1"/>
    <x v="0"/>
    <x v="2"/>
    <x v="1"/>
    <x v="10"/>
    <x v="1"/>
  </r>
  <r>
    <x v="2007"/>
    <x v="8"/>
    <x v="0"/>
    <n v="15.9"/>
    <n v="15.9"/>
    <x v="73"/>
    <d v="2025-03-16T00:00:00"/>
    <x v="1"/>
    <x v="0"/>
    <x v="1"/>
    <x v="0"/>
    <x v="22"/>
    <x v="3"/>
    <x v="10"/>
    <x v="1"/>
  </r>
  <r>
    <x v="2008"/>
    <x v="9"/>
    <x v="0"/>
    <n v="50.2"/>
    <n v="50.2"/>
    <x v="73"/>
    <d v="2025-03-17T00:00:00"/>
    <x v="2"/>
    <x v="3"/>
    <x v="2"/>
    <x v="0"/>
    <x v="34"/>
    <x v="1"/>
    <x v="10"/>
    <x v="2"/>
  </r>
  <r>
    <x v="2009"/>
    <x v="11"/>
    <x v="12"/>
    <n v="85.1"/>
    <n v="340.4"/>
    <x v="73"/>
    <d v="2025-03-16T00:00:00"/>
    <x v="2"/>
    <x v="3"/>
    <x v="4"/>
    <x v="0"/>
    <x v="34"/>
    <x v="3"/>
    <x v="10"/>
    <x v="2"/>
  </r>
  <r>
    <x v="2010"/>
    <x v="11"/>
    <x v="1"/>
    <n v="41.4"/>
    <n v="82.8"/>
    <x v="73"/>
    <d v="2025-03-16T00:00:00"/>
    <x v="2"/>
    <x v="0"/>
    <x v="2"/>
    <x v="0"/>
    <x v="3"/>
    <x v="3"/>
    <x v="10"/>
    <x v="2"/>
  </r>
  <r>
    <x v="2011"/>
    <x v="4"/>
    <x v="3"/>
    <n v="32.700000000000003"/>
    <n v="228.90000000000003"/>
    <x v="73"/>
    <d v="2025-03-16T00:00:00"/>
    <x v="2"/>
    <x v="2"/>
    <x v="1"/>
    <x v="0"/>
    <x v="3"/>
    <x v="3"/>
    <x v="10"/>
    <x v="2"/>
  </r>
  <r>
    <x v="2012"/>
    <x v="4"/>
    <x v="1"/>
    <n v="41.6"/>
    <n v="83.2"/>
    <x v="73"/>
    <d v="2025-03-17T00:00:00"/>
    <x v="1"/>
    <x v="4"/>
    <x v="1"/>
    <x v="0"/>
    <x v="3"/>
    <x v="1"/>
    <x v="10"/>
    <x v="1"/>
  </r>
  <r>
    <x v="2013"/>
    <x v="5"/>
    <x v="12"/>
    <n v="64.8"/>
    <n v="259.2"/>
    <x v="73"/>
    <d v="2025-03-16T00:00:00"/>
    <x v="0"/>
    <x v="2"/>
    <x v="0"/>
    <x v="0"/>
    <x v="3"/>
    <x v="3"/>
    <x v="10"/>
    <x v="0"/>
  </r>
  <r>
    <x v="2014"/>
    <x v="15"/>
    <x v="1"/>
    <n v="33.6"/>
    <n v="67.2"/>
    <x v="73"/>
    <d v="2025-03-16T00:00:00"/>
    <x v="1"/>
    <x v="0"/>
    <x v="2"/>
    <x v="0"/>
    <x v="3"/>
    <x v="3"/>
    <x v="10"/>
    <x v="1"/>
  </r>
  <r>
    <x v="2015"/>
    <x v="6"/>
    <x v="2"/>
    <n v="100.7"/>
    <n v="302.10000000000002"/>
    <x v="73"/>
    <d v="2025-03-16T00:00:00"/>
    <x v="0"/>
    <x v="1"/>
    <x v="0"/>
    <x v="0"/>
    <x v="3"/>
    <x v="3"/>
    <x v="10"/>
    <x v="0"/>
  </r>
  <r>
    <x v="2016"/>
    <x v="4"/>
    <x v="1"/>
    <n v="49.3"/>
    <n v="98.6"/>
    <x v="74"/>
    <d v="2025-03-18T00:00:00"/>
    <x v="2"/>
    <x v="4"/>
    <x v="2"/>
    <x v="0"/>
    <x v="3"/>
    <x v="1"/>
    <x v="11"/>
    <x v="2"/>
  </r>
  <r>
    <x v="2017"/>
    <x v="2"/>
    <x v="13"/>
    <n v="97"/>
    <n v="582"/>
    <x v="74"/>
    <d v="2025-03-19T00:00:00"/>
    <x v="1"/>
    <x v="2"/>
    <x v="2"/>
    <x v="0"/>
    <x v="3"/>
    <x v="2"/>
    <x v="11"/>
    <x v="1"/>
  </r>
  <r>
    <x v="2018"/>
    <x v="0"/>
    <x v="13"/>
    <n v="25.2"/>
    <n v="151.19999999999999"/>
    <x v="74"/>
    <d v="2025-03-19T00:00:00"/>
    <x v="2"/>
    <x v="4"/>
    <x v="2"/>
    <x v="0"/>
    <x v="3"/>
    <x v="2"/>
    <x v="11"/>
    <x v="2"/>
  </r>
  <r>
    <x v="2019"/>
    <x v="0"/>
    <x v="5"/>
    <n v="12.2"/>
    <n v="134.19999999999999"/>
    <x v="74"/>
    <d v="2025-03-17T00:00:00"/>
    <x v="0"/>
    <x v="0"/>
    <x v="1"/>
    <x v="0"/>
    <x v="3"/>
    <x v="3"/>
    <x v="11"/>
    <x v="0"/>
  </r>
  <r>
    <x v="2020"/>
    <x v="8"/>
    <x v="3"/>
    <n v="38.799999999999997"/>
    <n v="271.59999999999997"/>
    <x v="74"/>
    <d v="2025-03-18T00:00:00"/>
    <x v="2"/>
    <x v="1"/>
    <x v="1"/>
    <x v="0"/>
    <x v="23"/>
    <x v="1"/>
    <x v="11"/>
    <x v="2"/>
  </r>
  <r>
    <x v="2021"/>
    <x v="2"/>
    <x v="12"/>
    <n v="53.2"/>
    <n v="212.8"/>
    <x v="74"/>
    <d v="2025-03-17T00:00:00"/>
    <x v="1"/>
    <x v="0"/>
    <x v="2"/>
    <x v="0"/>
    <x v="8"/>
    <x v="3"/>
    <x v="11"/>
    <x v="1"/>
  </r>
  <r>
    <x v="2022"/>
    <x v="6"/>
    <x v="3"/>
    <n v="151"/>
    <n v="1057"/>
    <x v="74"/>
    <d v="2025-03-17T00:00:00"/>
    <x v="3"/>
    <x v="1"/>
    <x v="1"/>
    <x v="0"/>
    <x v="8"/>
    <x v="3"/>
    <x v="11"/>
    <x v="3"/>
  </r>
  <r>
    <x v="2023"/>
    <x v="1"/>
    <x v="1"/>
    <n v="37.1"/>
    <n v="74.2"/>
    <x v="74"/>
    <d v="2025-03-17T00:00:00"/>
    <x v="2"/>
    <x v="4"/>
    <x v="0"/>
    <x v="0"/>
    <x v="8"/>
    <x v="3"/>
    <x v="11"/>
    <x v="2"/>
  </r>
  <r>
    <x v="2024"/>
    <x v="5"/>
    <x v="1"/>
    <n v="38.9"/>
    <n v="77.8"/>
    <x v="74"/>
    <d v="2025-03-17T00:00:00"/>
    <x v="1"/>
    <x v="4"/>
    <x v="0"/>
    <x v="0"/>
    <x v="8"/>
    <x v="3"/>
    <x v="11"/>
    <x v="1"/>
  </r>
  <r>
    <x v="2025"/>
    <x v="10"/>
    <x v="1"/>
    <n v="35.200000000000003"/>
    <n v="70.400000000000006"/>
    <x v="74"/>
    <d v="2025-03-17T00:00:00"/>
    <x v="1"/>
    <x v="0"/>
    <x v="2"/>
    <x v="0"/>
    <x v="17"/>
    <x v="3"/>
    <x v="11"/>
    <x v="1"/>
  </r>
  <r>
    <x v="2026"/>
    <x v="0"/>
    <x v="1"/>
    <n v="22.3"/>
    <n v="44.6"/>
    <x v="74"/>
    <d v="2025-03-18T00:00:00"/>
    <x v="2"/>
    <x v="1"/>
    <x v="0"/>
    <x v="0"/>
    <x v="9"/>
    <x v="1"/>
    <x v="11"/>
    <x v="2"/>
  </r>
  <r>
    <x v="2027"/>
    <x v="9"/>
    <x v="0"/>
    <n v="43.3"/>
    <n v="43.3"/>
    <x v="74"/>
    <d v="2025-03-19T00:00:00"/>
    <x v="2"/>
    <x v="0"/>
    <x v="2"/>
    <x v="0"/>
    <x v="11"/>
    <x v="2"/>
    <x v="11"/>
    <x v="2"/>
  </r>
  <r>
    <x v="2028"/>
    <x v="6"/>
    <x v="13"/>
    <n v="75.900000000000006"/>
    <n v="455.40000000000003"/>
    <x v="74"/>
    <d v="2025-03-22T00:00:00"/>
    <x v="1"/>
    <x v="0"/>
    <x v="0"/>
    <x v="0"/>
    <x v="11"/>
    <x v="4"/>
    <x v="11"/>
    <x v="1"/>
  </r>
  <r>
    <x v="2029"/>
    <x v="6"/>
    <x v="2"/>
    <n v="78.7"/>
    <n v="236.10000000000002"/>
    <x v="74"/>
    <d v="2025-03-20T00:00:00"/>
    <x v="2"/>
    <x v="2"/>
    <x v="1"/>
    <x v="0"/>
    <x v="11"/>
    <x v="5"/>
    <x v="11"/>
    <x v="2"/>
  </r>
  <r>
    <x v="2030"/>
    <x v="1"/>
    <x v="0"/>
    <n v="66.3"/>
    <n v="66.3"/>
    <x v="74"/>
    <d v="2025-03-20T00:00:00"/>
    <x v="2"/>
    <x v="0"/>
    <x v="2"/>
    <x v="0"/>
    <x v="19"/>
    <x v="5"/>
    <x v="11"/>
    <x v="2"/>
  </r>
  <r>
    <x v="2031"/>
    <x v="8"/>
    <x v="1"/>
    <n v="33.6"/>
    <n v="67.2"/>
    <x v="74"/>
    <d v="2025-03-16T00:00:00"/>
    <x v="1"/>
    <x v="0"/>
    <x v="1"/>
    <x v="0"/>
    <x v="19"/>
    <x v="7"/>
    <x v="11"/>
    <x v="1"/>
  </r>
  <r>
    <x v="2032"/>
    <x v="2"/>
    <x v="3"/>
    <n v="61.4"/>
    <n v="429.8"/>
    <x v="74"/>
    <d v="2025-03-17T00:00:00"/>
    <x v="1"/>
    <x v="4"/>
    <x v="0"/>
    <x v="0"/>
    <x v="19"/>
    <x v="3"/>
    <x v="11"/>
    <x v="1"/>
  </r>
  <r>
    <x v="2033"/>
    <x v="8"/>
    <x v="1"/>
    <n v="17.5"/>
    <n v="35"/>
    <x v="74"/>
    <d v="2025-03-19T00:00:00"/>
    <x v="2"/>
    <x v="0"/>
    <x v="0"/>
    <x v="0"/>
    <x v="21"/>
    <x v="2"/>
    <x v="11"/>
    <x v="2"/>
  </r>
  <r>
    <x v="2034"/>
    <x v="8"/>
    <x v="1"/>
    <n v="32.5"/>
    <n v="65"/>
    <x v="74"/>
    <d v="2025-03-19T00:00:00"/>
    <x v="2"/>
    <x v="1"/>
    <x v="0"/>
    <x v="0"/>
    <x v="21"/>
    <x v="2"/>
    <x v="11"/>
    <x v="2"/>
  </r>
  <r>
    <x v="2035"/>
    <x v="4"/>
    <x v="0"/>
    <n v="34.6"/>
    <n v="34.6"/>
    <x v="74"/>
    <d v="2025-03-17T00:00:00"/>
    <x v="2"/>
    <x v="4"/>
    <x v="0"/>
    <x v="0"/>
    <x v="21"/>
    <x v="3"/>
    <x v="11"/>
    <x v="2"/>
  </r>
  <r>
    <x v="2036"/>
    <x v="2"/>
    <x v="0"/>
    <n v="75.900000000000006"/>
    <n v="75.900000000000006"/>
    <x v="74"/>
    <d v="2025-03-16T00:00:00"/>
    <x v="1"/>
    <x v="1"/>
    <x v="2"/>
    <x v="0"/>
    <x v="21"/>
    <x v="7"/>
    <x v="11"/>
    <x v="1"/>
  </r>
  <r>
    <x v="2037"/>
    <x v="1"/>
    <x v="2"/>
    <n v="42.1"/>
    <n v="126.30000000000001"/>
    <x v="74"/>
    <d v="2025-03-19T00:00:00"/>
    <x v="1"/>
    <x v="1"/>
    <x v="1"/>
    <x v="0"/>
    <x v="21"/>
    <x v="2"/>
    <x v="11"/>
    <x v="1"/>
  </r>
  <r>
    <x v="2038"/>
    <x v="7"/>
    <x v="2"/>
    <n v="65.3"/>
    <n v="195.89999999999998"/>
    <x v="74"/>
    <d v="2025-03-23T00:00:00"/>
    <x v="1"/>
    <x v="0"/>
    <x v="0"/>
    <x v="0"/>
    <x v="1"/>
    <x v="6"/>
    <x v="11"/>
    <x v="1"/>
  </r>
  <r>
    <x v="2039"/>
    <x v="15"/>
    <x v="0"/>
    <n v="20.6"/>
    <n v="20.6"/>
    <x v="74"/>
    <d v="2025-03-19T00:00:00"/>
    <x v="1"/>
    <x v="3"/>
    <x v="0"/>
    <x v="0"/>
    <x v="42"/>
    <x v="2"/>
    <x v="11"/>
    <x v="1"/>
  </r>
  <r>
    <x v="2040"/>
    <x v="8"/>
    <x v="3"/>
    <n v="16.5"/>
    <n v="115.5"/>
    <x v="74"/>
    <d v="2025-03-17T00:00:00"/>
    <x v="1"/>
    <x v="1"/>
    <x v="1"/>
    <x v="0"/>
    <x v="2"/>
    <x v="3"/>
    <x v="11"/>
    <x v="1"/>
  </r>
  <r>
    <x v="2041"/>
    <x v="16"/>
    <x v="7"/>
    <n v="36.200000000000003"/>
    <n v="362"/>
    <x v="74"/>
    <d v="2025-03-18T00:00:00"/>
    <x v="1"/>
    <x v="0"/>
    <x v="2"/>
    <x v="0"/>
    <x v="2"/>
    <x v="1"/>
    <x v="11"/>
    <x v="1"/>
  </r>
  <r>
    <x v="2042"/>
    <x v="6"/>
    <x v="0"/>
    <n v="53.2"/>
    <n v="53.2"/>
    <x v="74"/>
    <d v="2025-03-17T00:00:00"/>
    <x v="2"/>
    <x v="0"/>
    <x v="1"/>
    <x v="0"/>
    <x v="22"/>
    <x v="3"/>
    <x v="11"/>
    <x v="2"/>
  </r>
  <r>
    <x v="2043"/>
    <x v="2"/>
    <x v="21"/>
    <n v="176"/>
    <n v="2464"/>
    <x v="74"/>
    <d v="2025-03-17T00:00:00"/>
    <x v="2"/>
    <x v="0"/>
    <x v="1"/>
    <x v="0"/>
    <x v="3"/>
    <x v="3"/>
    <x v="11"/>
    <x v="2"/>
  </r>
  <r>
    <x v="2044"/>
    <x v="1"/>
    <x v="0"/>
    <n v="52.4"/>
    <n v="52.4"/>
    <x v="74"/>
    <d v="2025-03-17T00:00:00"/>
    <x v="1"/>
    <x v="1"/>
    <x v="0"/>
    <x v="0"/>
    <x v="3"/>
    <x v="3"/>
    <x v="11"/>
    <x v="1"/>
  </r>
  <r>
    <x v="2045"/>
    <x v="10"/>
    <x v="2"/>
    <n v="48.2"/>
    <n v="144.60000000000002"/>
    <x v="74"/>
    <d v="2025-03-17T00:00:00"/>
    <x v="2"/>
    <x v="1"/>
    <x v="2"/>
    <x v="0"/>
    <x v="3"/>
    <x v="3"/>
    <x v="11"/>
    <x v="2"/>
  </r>
  <r>
    <x v="2046"/>
    <x v="15"/>
    <x v="0"/>
    <n v="51.6"/>
    <n v="51.6"/>
    <x v="74"/>
    <d v="2025-03-20T00:00:00"/>
    <x v="2"/>
    <x v="2"/>
    <x v="1"/>
    <x v="0"/>
    <x v="3"/>
    <x v="5"/>
    <x v="11"/>
    <x v="2"/>
  </r>
  <r>
    <x v="2047"/>
    <x v="0"/>
    <x v="12"/>
    <n v="33.700000000000003"/>
    <n v="134.80000000000001"/>
    <x v="75"/>
    <d v="2025-03-18T00:00:00"/>
    <x v="1"/>
    <x v="0"/>
    <x v="0"/>
    <x v="0"/>
    <x v="3"/>
    <x v="3"/>
    <x v="11"/>
    <x v="1"/>
  </r>
  <r>
    <x v="2048"/>
    <x v="4"/>
    <x v="7"/>
    <n v="36.299999999999997"/>
    <n v="363"/>
    <x v="75"/>
    <d v="2025-03-19T00:00:00"/>
    <x v="2"/>
    <x v="4"/>
    <x v="1"/>
    <x v="0"/>
    <x v="3"/>
    <x v="1"/>
    <x v="11"/>
    <x v="2"/>
  </r>
  <r>
    <x v="2049"/>
    <x v="8"/>
    <x v="0"/>
    <n v="23.4"/>
    <n v="23.4"/>
    <x v="75"/>
    <d v="2025-03-22T00:00:00"/>
    <x v="2"/>
    <x v="1"/>
    <x v="2"/>
    <x v="0"/>
    <x v="3"/>
    <x v="0"/>
    <x v="11"/>
    <x v="2"/>
  </r>
  <r>
    <x v="2050"/>
    <x v="15"/>
    <x v="8"/>
    <n v="56.6"/>
    <n v="452.8"/>
    <x v="75"/>
    <d v="2025-03-19T00:00:00"/>
    <x v="2"/>
    <x v="1"/>
    <x v="0"/>
    <x v="0"/>
    <x v="3"/>
    <x v="1"/>
    <x v="11"/>
    <x v="2"/>
  </r>
  <r>
    <x v="2051"/>
    <x v="15"/>
    <x v="1"/>
    <n v="26.8"/>
    <n v="53.6"/>
    <x v="75"/>
    <d v="2025-03-18T00:00:00"/>
    <x v="1"/>
    <x v="0"/>
    <x v="0"/>
    <x v="0"/>
    <x v="4"/>
    <x v="3"/>
    <x v="11"/>
    <x v="1"/>
  </r>
  <r>
    <x v="2052"/>
    <x v="0"/>
    <x v="2"/>
    <n v="11.3"/>
    <n v="33.900000000000006"/>
    <x v="75"/>
    <d v="2025-03-19T00:00:00"/>
    <x v="1"/>
    <x v="2"/>
    <x v="0"/>
    <x v="0"/>
    <x v="25"/>
    <x v="1"/>
    <x v="11"/>
    <x v="1"/>
  </r>
  <r>
    <x v="2053"/>
    <x v="6"/>
    <x v="2"/>
    <n v="60.1"/>
    <n v="180.3"/>
    <x v="75"/>
    <d v="2025-03-20T00:00:00"/>
    <x v="2"/>
    <x v="0"/>
    <x v="0"/>
    <x v="0"/>
    <x v="7"/>
    <x v="2"/>
    <x v="11"/>
    <x v="2"/>
  </r>
  <r>
    <x v="2054"/>
    <x v="0"/>
    <x v="5"/>
    <n v="27.7"/>
    <n v="304.7"/>
    <x v="75"/>
    <d v="2025-03-22T00:00:00"/>
    <x v="2"/>
    <x v="0"/>
    <x v="0"/>
    <x v="0"/>
    <x v="8"/>
    <x v="0"/>
    <x v="11"/>
    <x v="2"/>
  </r>
  <r>
    <x v="2055"/>
    <x v="15"/>
    <x v="0"/>
    <n v="71.400000000000006"/>
    <n v="71.400000000000006"/>
    <x v="75"/>
    <d v="2025-03-20T00:00:00"/>
    <x v="1"/>
    <x v="0"/>
    <x v="2"/>
    <x v="0"/>
    <x v="8"/>
    <x v="2"/>
    <x v="11"/>
    <x v="1"/>
  </r>
  <r>
    <x v="2056"/>
    <x v="2"/>
    <x v="1"/>
    <n v="66.7"/>
    <n v="133.4"/>
    <x v="75"/>
    <d v="2025-03-18T00:00:00"/>
    <x v="2"/>
    <x v="0"/>
    <x v="2"/>
    <x v="0"/>
    <x v="8"/>
    <x v="3"/>
    <x v="11"/>
    <x v="2"/>
  </r>
  <r>
    <x v="2057"/>
    <x v="13"/>
    <x v="9"/>
    <n v="39.1"/>
    <n v="195.5"/>
    <x v="75"/>
    <d v="2025-03-18T00:00:00"/>
    <x v="2"/>
    <x v="0"/>
    <x v="0"/>
    <x v="0"/>
    <x v="8"/>
    <x v="3"/>
    <x v="11"/>
    <x v="2"/>
  </r>
  <r>
    <x v="2058"/>
    <x v="8"/>
    <x v="12"/>
    <n v="24.9"/>
    <n v="99.6"/>
    <x v="75"/>
    <d v="2025-03-22T00:00:00"/>
    <x v="1"/>
    <x v="1"/>
    <x v="2"/>
    <x v="0"/>
    <x v="8"/>
    <x v="0"/>
    <x v="11"/>
    <x v="1"/>
  </r>
  <r>
    <x v="2059"/>
    <x v="5"/>
    <x v="9"/>
    <n v="29.2"/>
    <n v="146"/>
    <x v="75"/>
    <d v="2025-03-18T00:00:00"/>
    <x v="1"/>
    <x v="0"/>
    <x v="2"/>
    <x v="0"/>
    <x v="17"/>
    <x v="3"/>
    <x v="11"/>
    <x v="1"/>
  </r>
  <r>
    <x v="2060"/>
    <x v="13"/>
    <x v="21"/>
    <n v="28.3"/>
    <n v="396.2"/>
    <x v="75"/>
    <d v="2025-03-19T00:00:00"/>
    <x v="2"/>
    <x v="1"/>
    <x v="0"/>
    <x v="0"/>
    <x v="11"/>
    <x v="1"/>
    <x v="11"/>
    <x v="2"/>
  </r>
  <r>
    <x v="2061"/>
    <x v="9"/>
    <x v="2"/>
    <n v="37.799999999999997"/>
    <n v="113.39999999999999"/>
    <x v="75"/>
    <d v="2025-03-18T00:00:00"/>
    <x v="2"/>
    <x v="0"/>
    <x v="1"/>
    <x v="0"/>
    <x v="11"/>
    <x v="3"/>
    <x v="11"/>
    <x v="2"/>
  </r>
  <r>
    <x v="2062"/>
    <x v="14"/>
    <x v="3"/>
    <n v="28.1"/>
    <n v="196.70000000000002"/>
    <x v="75"/>
    <d v="2025-03-23T00:00:00"/>
    <x v="2"/>
    <x v="2"/>
    <x v="0"/>
    <x v="0"/>
    <x v="11"/>
    <x v="4"/>
    <x v="11"/>
    <x v="2"/>
  </r>
  <r>
    <x v="2063"/>
    <x v="1"/>
    <x v="2"/>
    <n v="59.7"/>
    <n v="179.10000000000002"/>
    <x v="75"/>
    <d v="2025-03-19T00:00:00"/>
    <x v="2"/>
    <x v="2"/>
    <x v="0"/>
    <x v="0"/>
    <x v="11"/>
    <x v="1"/>
    <x v="11"/>
    <x v="2"/>
  </r>
  <r>
    <x v="2064"/>
    <x v="16"/>
    <x v="0"/>
    <n v="71.900000000000006"/>
    <n v="71.900000000000006"/>
    <x v="75"/>
    <d v="2025-03-18T00:00:00"/>
    <x v="1"/>
    <x v="1"/>
    <x v="1"/>
    <x v="0"/>
    <x v="11"/>
    <x v="3"/>
    <x v="11"/>
    <x v="1"/>
  </r>
  <r>
    <x v="2065"/>
    <x v="1"/>
    <x v="1"/>
    <n v="56.9"/>
    <n v="113.8"/>
    <x v="75"/>
    <d v="2025-03-18T00:00:00"/>
    <x v="1"/>
    <x v="2"/>
    <x v="0"/>
    <x v="0"/>
    <x v="13"/>
    <x v="3"/>
    <x v="11"/>
    <x v="1"/>
  </r>
  <r>
    <x v="2066"/>
    <x v="8"/>
    <x v="1"/>
    <n v="15.8"/>
    <n v="31.6"/>
    <x v="75"/>
    <d v="2025-03-20T00:00:00"/>
    <x v="2"/>
    <x v="2"/>
    <x v="1"/>
    <x v="0"/>
    <x v="1"/>
    <x v="2"/>
    <x v="11"/>
    <x v="2"/>
  </r>
  <r>
    <x v="2067"/>
    <x v="11"/>
    <x v="12"/>
    <n v="61.7"/>
    <n v="246.8"/>
    <x v="75"/>
    <d v="2025-03-19T00:00:00"/>
    <x v="2"/>
    <x v="2"/>
    <x v="0"/>
    <x v="0"/>
    <x v="22"/>
    <x v="1"/>
    <x v="11"/>
    <x v="2"/>
  </r>
  <r>
    <x v="2068"/>
    <x v="2"/>
    <x v="7"/>
    <n v="105.2"/>
    <n v="1052"/>
    <x v="75"/>
    <d v="2025-03-19T00:00:00"/>
    <x v="1"/>
    <x v="1"/>
    <x v="4"/>
    <x v="0"/>
    <x v="3"/>
    <x v="1"/>
    <x v="11"/>
    <x v="1"/>
  </r>
  <r>
    <x v="2069"/>
    <x v="0"/>
    <x v="1"/>
    <n v="17"/>
    <n v="34"/>
    <x v="75"/>
    <d v="2025-03-19T00:00:00"/>
    <x v="2"/>
    <x v="2"/>
    <x v="0"/>
    <x v="0"/>
    <x v="3"/>
    <x v="1"/>
    <x v="11"/>
    <x v="2"/>
  </r>
  <r>
    <x v="2070"/>
    <x v="6"/>
    <x v="2"/>
    <n v="84.1"/>
    <n v="252.29999999999998"/>
    <x v="75"/>
    <d v="2025-03-18T00:00:00"/>
    <x v="1"/>
    <x v="2"/>
    <x v="0"/>
    <x v="0"/>
    <x v="3"/>
    <x v="3"/>
    <x v="11"/>
    <x v="1"/>
  </r>
  <r>
    <x v="2071"/>
    <x v="3"/>
    <x v="12"/>
    <n v="59.5"/>
    <n v="238"/>
    <x v="75"/>
    <d v="2025-03-22T00:00:00"/>
    <x v="1"/>
    <x v="0"/>
    <x v="2"/>
    <x v="0"/>
    <x v="3"/>
    <x v="0"/>
    <x v="11"/>
    <x v="1"/>
  </r>
  <r>
    <x v="2072"/>
    <x v="8"/>
    <x v="1"/>
    <n v="57.5"/>
    <n v="115"/>
    <x v="75"/>
    <d v="2025-03-19T00:00:00"/>
    <x v="1"/>
    <x v="1"/>
    <x v="2"/>
    <x v="0"/>
    <x v="3"/>
    <x v="1"/>
    <x v="11"/>
    <x v="1"/>
  </r>
  <r>
    <x v="2073"/>
    <x v="8"/>
    <x v="0"/>
    <n v="34.299999999999997"/>
    <n v="34.299999999999997"/>
    <x v="75"/>
    <d v="2025-03-18T00:00:00"/>
    <x v="2"/>
    <x v="4"/>
    <x v="2"/>
    <x v="0"/>
    <x v="3"/>
    <x v="3"/>
    <x v="11"/>
    <x v="2"/>
  </r>
  <r>
    <x v="2074"/>
    <x v="5"/>
    <x v="1"/>
    <n v="27.8"/>
    <n v="55.6"/>
    <x v="76"/>
    <d v="2025-03-20T00:00:00"/>
    <x v="2"/>
    <x v="0"/>
    <x v="0"/>
    <x v="0"/>
    <x v="3"/>
    <x v="1"/>
    <x v="11"/>
    <x v="2"/>
  </r>
  <r>
    <x v="2075"/>
    <x v="12"/>
    <x v="1"/>
    <n v="85"/>
    <n v="170"/>
    <x v="76"/>
    <d v="2025-03-18T00:00:00"/>
    <x v="1"/>
    <x v="2"/>
    <x v="2"/>
    <x v="0"/>
    <x v="3"/>
    <x v="7"/>
    <x v="11"/>
    <x v="1"/>
  </r>
  <r>
    <x v="2076"/>
    <x v="6"/>
    <x v="1"/>
    <n v="95"/>
    <n v="190"/>
    <x v="76"/>
    <d v="2025-03-20T00:00:00"/>
    <x v="2"/>
    <x v="0"/>
    <x v="0"/>
    <x v="0"/>
    <x v="3"/>
    <x v="1"/>
    <x v="11"/>
    <x v="2"/>
  </r>
  <r>
    <x v="2077"/>
    <x v="16"/>
    <x v="1"/>
    <n v="32"/>
    <n v="64"/>
    <x v="76"/>
    <d v="2025-03-20T00:00:00"/>
    <x v="1"/>
    <x v="0"/>
    <x v="1"/>
    <x v="0"/>
    <x v="3"/>
    <x v="1"/>
    <x v="11"/>
    <x v="1"/>
  </r>
  <r>
    <x v="2078"/>
    <x v="2"/>
    <x v="1"/>
    <n v="65.2"/>
    <n v="130.4"/>
    <x v="76"/>
    <d v="2025-03-19T00:00:00"/>
    <x v="2"/>
    <x v="1"/>
    <x v="0"/>
    <x v="0"/>
    <x v="3"/>
    <x v="3"/>
    <x v="11"/>
    <x v="2"/>
  </r>
  <r>
    <x v="2079"/>
    <x v="17"/>
    <x v="12"/>
    <n v="22"/>
    <n v="88"/>
    <x v="76"/>
    <d v="2025-03-19T00:00:00"/>
    <x v="1"/>
    <x v="1"/>
    <x v="2"/>
    <x v="0"/>
    <x v="3"/>
    <x v="3"/>
    <x v="11"/>
    <x v="1"/>
  </r>
  <r>
    <x v="2080"/>
    <x v="15"/>
    <x v="2"/>
    <n v="69.400000000000006"/>
    <n v="208.20000000000002"/>
    <x v="76"/>
    <d v="2025-03-21T00:00:00"/>
    <x v="1"/>
    <x v="1"/>
    <x v="2"/>
    <x v="0"/>
    <x v="3"/>
    <x v="2"/>
    <x v="11"/>
    <x v="1"/>
  </r>
  <r>
    <x v="2081"/>
    <x v="10"/>
    <x v="13"/>
    <n v="31.5"/>
    <n v="189"/>
    <x v="76"/>
    <d v="2025-03-20T00:00:00"/>
    <x v="2"/>
    <x v="0"/>
    <x v="2"/>
    <x v="0"/>
    <x v="3"/>
    <x v="1"/>
    <x v="11"/>
    <x v="2"/>
  </r>
  <r>
    <x v="2082"/>
    <x v="6"/>
    <x v="0"/>
    <n v="45.8"/>
    <n v="45.8"/>
    <x v="76"/>
    <d v="2025-03-22T00:00:00"/>
    <x v="3"/>
    <x v="0"/>
    <x v="0"/>
    <x v="0"/>
    <x v="3"/>
    <x v="5"/>
    <x v="11"/>
    <x v="3"/>
  </r>
  <r>
    <x v="2083"/>
    <x v="19"/>
    <x v="12"/>
    <n v="12.8"/>
    <n v="51.2"/>
    <x v="76"/>
    <d v="2025-03-25T00:00:00"/>
    <x v="2"/>
    <x v="1"/>
    <x v="1"/>
    <x v="0"/>
    <x v="5"/>
    <x v="6"/>
    <x v="11"/>
    <x v="2"/>
  </r>
  <r>
    <x v="2084"/>
    <x v="5"/>
    <x v="2"/>
    <n v="115.3"/>
    <n v="345.9"/>
    <x v="76"/>
    <d v="2025-03-19T00:00:00"/>
    <x v="2"/>
    <x v="2"/>
    <x v="2"/>
    <x v="0"/>
    <x v="6"/>
    <x v="3"/>
    <x v="11"/>
    <x v="2"/>
  </r>
  <r>
    <x v="2085"/>
    <x v="5"/>
    <x v="1"/>
    <n v="85"/>
    <n v="170"/>
    <x v="76"/>
    <d v="2025-03-20T00:00:00"/>
    <x v="2"/>
    <x v="1"/>
    <x v="0"/>
    <x v="0"/>
    <x v="7"/>
    <x v="1"/>
    <x v="11"/>
    <x v="2"/>
  </r>
  <r>
    <x v="2086"/>
    <x v="8"/>
    <x v="2"/>
    <n v="56.6"/>
    <n v="169.8"/>
    <x v="76"/>
    <d v="2025-03-19T00:00:00"/>
    <x v="2"/>
    <x v="1"/>
    <x v="2"/>
    <x v="0"/>
    <x v="7"/>
    <x v="3"/>
    <x v="11"/>
    <x v="2"/>
  </r>
  <r>
    <x v="2087"/>
    <x v="15"/>
    <x v="6"/>
    <n v="46.3"/>
    <n v="1250.0999999999999"/>
    <x v="76"/>
    <d v="2025-03-21T00:00:00"/>
    <x v="1"/>
    <x v="0"/>
    <x v="0"/>
    <x v="0"/>
    <x v="7"/>
    <x v="2"/>
    <x v="11"/>
    <x v="1"/>
  </r>
  <r>
    <x v="2088"/>
    <x v="14"/>
    <x v="12"/>
    <n v="23"/>
    <n v="92"/>
    <x v="76"/>
    <d v="2025-03-22T00:00:00"/>
    <x v="1"/>
    <x v="3"/>
    <x v="2"/>
    <x v="0"/>
    <x v="7"/>
    <x v="5"/>
    <x v="11"/>
    <x v="1"/>
  </r>
  <r>
    <x v="2089"/>
    <x v="8"/>
    <x v="13"/>
    <n v="42.1"/>
    <n v="252.60000000000002"/>
    <x v="76"/>
    <d v="2025-03-20T00:00:00"/>
    <x v="1"/>
    <x v="4"/>
    <x v="0"/>
    <x v="0"/>
    <x v="8"/>
    <x v="1"/>
    <x v="11"/>
    <x v="1"/>
  </r>
  <r>
    <x v="2090"/>
    <x v="5"/>
    <x v="3"/>
    <n v="57.4"/>
    <n v="401.8"/>
    <x v="76"/>
    <d v="2025-03-22T00:00:00"/>
    <x v="2"/>
    <x v="1"/>
    <x v="4"/>
    <x v="0"/>
    <x v="8"/>
    <x v="5"/>
    <x v="11"/>
    <x v="2"/>
  </r>
  <r>
    <x v="2091"/>
    <x v="0"/>
    <x v="13"/>
    <n v="13.2"/>
    <n v="79.199999999999989"/>
    <x v="76"/>
    <d v="2025-03-22T00:00:00"/>
    <x v="1"/>
    <x v="2"/>
    <x v="0"/>
    <x v="0"/>
    <x v="8"/>
    <x v="5"/>
    <x v="11"/>
    <x v="1"/>
  </r>
  <r>
    <x v="2092"/>
    <x v="6"/>
    <x v="2"/>
    <n v="52.3"/>
    <n v="156.89999999999998"/>
    <x v="76"/>
    <d v="2025-03-19T00:00:00"/>
    <x v="1"/>
    <x v="1"/>
    <x v="0"/>
    <x v="0"/>
    <x v="8"/>
    <x v="3"/>
    <x v="11"/>
    <x v="1"/>
  </r>
  <r>
    <x v="2093"/>
    <x v="8"/>
    <x v="1"/>
    <n v="15.7"/>
    <n v="31.4"/>
    <x v="76"/>
    <d v="2025-03-21T00:00:00"/>
    <x v="1"/>
    <x v="1"/>
    <x v="2"/>
    <x v="0"/>
    <x v="8"/>
    <x v="2"/>
    <x v="11"/>
    <x v="1"/>
  </r>
  <r>
    <x v="2094"/>
    <x v="7"/>
    <x v="2"/>
    <n v="35"/>
    <n v="105"/>
    <x v="76"/>
    <d v="2025-03-21T00:00:00"/>
    <x v="2"/>
    <x v="1"/>
    <x v="2"/>
    <x v="0"/>
    <x v="9"/>
    <x v="2"/>
    <x v="11"/>
    <x v="2"/>
  </r>
  <r>
    <x v="2095"/>
    <x v="4"/>
    <x v="2"/>
    <n v="26.6"/>
    <n v="79.800000000000011"/>
    <x v="76"/>
    <d v="2025-03-18T00:00:00"/>
    <x v="1"/>
    <x v="1"/>
    <x v="2"/>
    <x v="0"/>
    <x v="11"/>
    <x v="7"/>
    <x v="11"/>
    <x v="1"/>
  </r>
  <r>
    <x v="2096"/>
    <x v="4"/>
    <x v="8"/>
    <n v="47.9"/>
    <n v="383.2"/>
    <x v="77"/>
    <d v="2025-03-20T00:00:00"/>
    <x v="2"/>
    <x v="3"/>
    <x v="2"/>
    <x v="0"/>
    <x v="20"/>
    <x v="3"/>
    <x v="11"/>
    <x v="2"/>
  </r>
  <r>
    <x v="2097"/>
    <x v="5"/>
    <x v="0"/>
    <n v="80.099999999999994"/>
    <n v="80.099999999999994"/>
    <x v="77"/>
    <d v="2025-03-20T00:00:00"/>
    <x v="1"/>
    <x v="2"/>
    <x v="0"/>
    <x v="0"/>
    <x v="21"/>
    <x v="3"/>
    <x v="11"/>
    <x v="1"/>
  </r>
  <r>
    <x v="2098"/>
    <x v="6"/>
    <x v="9"/>
    <n v="50.4"/>
    <n v="252"/>
    <x v="77"/>
    <d v="2025-03-20T00:00:00"/>
    <x v="1"/>
    <x v="1"/>
    <x v="2"/>
    <x v="0"/>
    <x v="21"/>
    <x v="3"/>
    <x v="11"/>
    <x v="1"/>
  </r>
  <r>
    <x v="2099"/>
    <x v="10"/>
    <x v="3"/>
    <n v="43.3"/>
    <n v="303.09999999999997"/>
    <x v="77"/>
    <d v="2025-03-20T00:00:00"/>
    <x v="1"/>
    <x v="2"/>
    <x v="0"/>
    <x v="0"/>
    <x v="21"/>
    <x v="3"/>
    <x v="11"/>
    <x v="1"/>
  </r>
  <r>
    <x v="2100"/>
    <x v="10"/>
    <x v="12"/>
    <n v="57.5"/>
    <n v="230"/>
    <x v="77"/>
    <d v="2025-03-20T00:00:00"/>
    <x v="2"/>
    <x v="1"/>
    <x v="2"/>
    <x v="0"/>
    <x v="1"/>
    <x v="3"/>
    <x v="11"/>
    <x v="2"/>
  </r>
  <r>
    <x v="2101"/>
    <x v="9"/>
    <x v="15"/>
    <n v="24.8"/>
    <n v="322.40000000000003"/>
    <x v="77"/>
    <d v="2025-03-20T00:00:00"/>
    <x v="1"/>
    <x v="0"/>
    <x v="0"/>
    <x v="0"/>
    <x v="57"/>
    <x v="3"/>
    <x v="11"/>
    <x v="1"/>
  </r>
  <r>
    <x v="2102"/>
    <x v="2"/>
    <x v="11"/>
    <n v="85.7"/>
    <n v="771.30000000000007"/>
    <x v="77"/>
    <d v="2025-03-20T00:00:00"/>
    <x v="2"/>
    <x v="0"/>
    <x v="0"/>
    <x v="0"/>
    <x v="42"/>
    <x v="3"/>
    <x v="11"/>
    <x v="2"/>
  </r>
  <r>
    <x v="2103"/>
    <x v="7"/>
    <x v="0"/>
    <n v="47.1"/>
    <n v="47.1"/>
    <x v="77"/>
    <d v="2025-03-21T00:00:00"/>
    <x v="2"/>
    <x v="0"/>
    <x v="0"/>
    <x v="0"/>
    <x v="2"/>
    <x v="1"/>
    <x v="11"/>
    <x v="2"/>
  </r>
  <r>
    <x v="2104"/>
    <x v="5"/>
    <x v="7"/>
    <n v="83.2"/>
    <n v="832"/>
    <x v="77"/>
    <d v="2025-03-23T00:00:00"/>
    <x v="2"/>
    <x v="0"/>
    <x v="0"/>
    <x v="0"/>
    <x v="33"/>
    <x v="5"/>
    <x v="11"/>
    <x v="2"/>
  </r>
  <r>
    <x v="2105"/>
    <x v="2"/>
    <x v="2"/>
    <n v="157"/>
    <n v="471"/>
    <x v="77"/>
    <d v="2025-03-21T00:00:00"/>
    <x v="2"/>
    <x v="0"/>
    <x v="2"/>
    <x v="0"/>
    <x v="22"/>
    <x v="1"/>
    <x v="11"/>
    <x v="2"/>
  </r>
  <r>
    <x v="2106"/>
    <x v="16"/>
    <x v="12"/>
    <n v="33.700000000000003"/>
    <n v="134.80000000000001"/>
    <x v="77"/>
    <d v="2025-03-20T00:00:00"/>
    <x v="1"/>
    <x v="2"/>
    <x v="2"/>
    <x v="0"/>
    <x v="22"/>
    <x v="3"/>
    <x v="11"/>
    <x v="1"/>
  </r>
  <r>
    <x v="2107"/>
    <x v="2"/>
    <x v="2"/>
    <n v="60.8"/>
    <n v="182.39999999999998"/>
    <x v="77"/>
    <d v="2025-03-23T00:00:00"/>
    <x v="2"/>
    <x v="1"/>
    <x v="1"/>
    <x v="0"/>
    <x v="3"/>
    <x v="5"/>
    <x v="11"/>
    <x v="2"/>
  </r>
  <r>
    <x v="2108"/>
    <x v="7"/>
    <x v="0"/>
    <n v="57.6"/>
    <n v="57.6"/>
    <x v="77"/>
    <d v="2025-03-20T00:00:00"/>
    <x v="1"/>
    <x v="1"/>
    <x v="4"/>
    <x v="0"/>
    <x v="3"/>
    <x v="3"/>
    <x v="11"/>
    <x v="1"/>
  </r>
  <r>
    <x v="2109"/>
    <x v="10"/>
    <x v="0"/>
    <n v="32"/>
    <n v="32"/>
    <x v="77"/>
    <d v="2025-03-21T00:00:00"/>
    <x v="1"/>
    <x v="0"/>
    <x v="0"/>
    <x v="0"/>
    <x v="3"/>
    <x v="1"/>
    <x v="11"/>
    <x v="1"/>
  </r>
  <r>
    <x v="2110"/>
    <x v="10"/>
    <x v="12"/>
    <n v="23.5"/>
    <n v="94"/>
    <x v="77"/>
    <d v="2025-03-20T00:00:00"/>
    <x v="2"/>
    <x v="0"/>
    <x v="2"/>
    <x v="0"/>
    <x v="3"/>
    <x v="3"/>
    <x v="11"/>
    <x v="2"/>
  </r>
  <r>
    <x v="2111"/>
    <x v="12"/>
    <x v="2"/>
    <n v="44.8"/>
    <n v="134.39999999999998"/>
    <x v="77"/>
    <d v="2025-03-20T00:00:00"/>
    <x v="3"/>
    <x v="4"/>
    <x v="0"/>
    <x v="0"/>
    <x v="3"/>
    <x v="3"/>
    <x v="11"/>
    <x v="3"/>
  </r>
  <r>
    <x v="2112"/>
    <x v="0"/>
    <x v="8"/>
    <n v="11.7"/>
    <n v="93.6"/>
    <x v="77"/>
    <d v="2025-03-20T00:00:00"/>
    <x v="1"/>
    <x v="2"/>
    <x v="2"/>
    <x v="0"/>
    <x v="3"/>
    <x v="3"/>
    <x v="11"/>
    <x v="1"/>
  </r>
  <r>
    <x v="2113"/>
    <x v="7"/>
    <x v="1"/>
    <n v="38.799999999999997"/>
    <n v="77.599999999999994"/>
    <x v="77"/>
    <d v="2025-03-22T00:00:00"/>
    <x v="2"/>
    <x v="2"/>
    <x v="0"/>
    <x v="0"/>
    <x v="3"/>
    <x v="2"/>
    <x v="11"/>
    <x v="2"/>
  </r>
  <r>
    <x v="2114"/>
    <x v="5"/>
    <x v="21"/>
    <n v="86.9"/>
    <n v="1216.6000000000001"/>
    <x v="77"/>
    <d v="2025-03-24T00:00:00"/>
    <x v="2"/>
    <x v="1"/>
    <x v="0"/>
    <x v="0"/>
    <x v="3"/>
    <x v="0"/>
    <x v="11"/>
    <x v="2"/>
  </r>
  <r>
    <x v="2115"/>
    <x v="8"/>
    <x v="0"/>
    <n v="18.3"/>
    <n v="18.3"/>
    <x v="77"/>
    <d v="2025-03-20T00:00:00"/>
    <x v="2"/>
    <x v="0"/>
    <x v="0"/>
    <x v="0"/>
    <x v="3"/>
    <x v="3"/>
    <x v="11"/>
    <x v="2"/>
  </r>
  <r>
    <x v="2116"/>
    <x v="5"/>
    <x v="0"/>
    <n v="47.5"/>
    <n v="47.5"/>
    <x v="77"/>
    <d v="2025-03-23T00:00:00"/>
    <x v="1"/>
    <x v="4"/>
    <x v="2"/>
    <x v="0"/>
    <x v="3"/>
    <x v="5"/>
    <x v="11"/>
    <x v="1"/>
  </r>
  <r>
    <x v="2117"/>
    <x v="1"/>
    <x v="1"/>
    <n v="78.599999999999994"/>
    <n v="157.19999999999999"/>
    <x v="77"/>
    <d v="2025-03-20T00:00:00"/>
    <x v="1"/>
    <x v="2"/>
    <x v="2"/>
    <x v="0"/>
    <x v="3"/>
    <x v="3"/>
    <x v="11"/>
    <x v="1"/>
  </r>
  <r>
    <x v="2118"/>
    <x v="6"/>
    <x v="12"/>
    <n v="87.3"/>
    <n v="349.2"/>
    <x v="77"/>
    <d v="2025-03-20T00:00:00"/>
    <x v="1"/>
    <x v="0"/>
    <x v="0"/>
    <x v="0"/>
    <x v="3"/>
    <x v="3"/>
    <x v="11"/>
    <x v="1"/>
  </r>
  <r>
    <x v="2119"/>
    <x v="9"/>
    <x v="1"/>
    <n v="63.2"/>
    <n v="126.4"/>
    <x v="77"/>
    <d v="2025-03-19T00:00:00"/>
    <x v="1"/>
    <x v="4"/>
    <x v="1"/>
    <x v="0"/>
    <x v="3"/>
    <x v="7"/>
    <x v="11"/>
    <x v="1"/>
  </r>
  <r>
    <x v="2120"/>
    <x v="5"/>
    <x v="9"/>
    <n v="33.700000000000003"/>
    <n v="168.5"/>
    <x v="77"/>
    <d v="2025-03-20T00:00:00"/>
    <x v="2"/>
    <x v="0"/>
    <x v="0"/>
    <x v="0"/>
    <x v="3"/>
    <x v="3"/>
    <x v="11"/>
    <x v="2"/>
  </r>
  <r>
    <x v="2121"/>
    <x v="2"/>
    <x v="2"/>
    <n v="107.4"/>
    <n v="322.20000000000005"/>
    <x v="77"/>
    <d v="2025-04-01T00:00:00"/>
    <x v="2"/>
    <x v="1"/>
    <x v="2"/>
    <x v="0"/>
    <x v="3"/>
    <x v="10"/>
    <x v="11"/>
    <x v="2"/>
  </r>
  <r>
    <x v="2122"/>
    <x v="4"/>
    <x v="12"/>
    <n v="22.2"/>
    <n v="88.8"/>
    <x v="77"/>
    <d v="2025-03-20T00:00:00"/>
    <x v="0"/>
    <x v="1"/>
    <x v="2"/>
    <x v="0"/>
    <x v="24"/>
    <x v="3"/>
    <x v="11"/>
    <x v="0"/>
  </r>
  <r>
    <x v="2123"/>
    <x v="18"/>
    <x v="2"/>
    <n v="52.8"/>
    <n v="158.39999999999998"/>
    <x v="77"/>
    <d v="2025-03-20T00:00:00"/>
    <x v="1"/>
    <x v="3"/>
    <x v="2"/>
    <x v="0"/>
    <x v="24"/>
    <x v="3"/>
    <x v="11"/>
    <x v="1"/>
  </r>
  <r>
    <x v="2124"/>
    <x v="8"/>
    <x v="2"/>
    <n v="41.5"/>
    <n v="124.5"/>
    <x v="77"/>
    <d v="2025-03-22T00:00:00"/>
    <x v="2"/>
    <x v="0"/>
    <x v="0"/>
    <x v="0"/>
    <x v="25"/>
    <x v="2"/>
    <x v="11"/>
    <x v="2"/>
  </r>
  <r>
    <x v="2125"/>
    <x v="12"/>
    <x v="8"/>
    <n v="103.5"/>
    <n v="828"/>
    <x v="77"/>
    <d v="2025-03-22T00:00:00"/>
    <x v="2"/>
    <x v="0"/>
    <x v="2"/>
    <x v="0"/>
    <x v="23"/>
    <x v="2"/>
    <x v="11"/>
    <x v="2"/>
  </r>
  <r>
    <x v="2126"/>
    <x v="4"/>
    <x v="21"/>
    <n v="37.5"/>
    <n v="525"/>
    <x v="77"/>
    <d v="2025-03-19T00:00:00"/>
    <x v="2"/>
    <x v="1"/>
    <x v="2"/>
    <x v="0"/>
    <x v="6"/>
    <x v="7"/>
    <x v="11"/>
    <x v="2"/>
  </r>
  <r>
    <x v="2127"/>
    <x v="15"/>
    <x v="8"/>
    <n v="44.4"/>
    <n v="355.2"/>
    <x v="77"/>
    <d v="2025-03-25T00:00:00"/>
    <x v="2"/>
    <x v="3"/>
    <x v="2"/>
    <x v="0"/>
    <x v="7"/>
    <x v="4"/>
    <x v="11"/>
    <x v="2"/>
  </r>
  <r>
    <x v="2128"/>
    <x v="8"/>
    <x v="2"/>
    <n v="26.2"/>
    <n v="78.599999999999994"/>
    <x v="77"/>
    <d v="2025-03-20T00:00:00"/>
    <x v="1"/>
    <x v="0"/>
    <x v="0"/>
    <x v="0"/>
    <x v="8"/>
    <x v="3"/>
    <x v="11"/>
    <x v="1"/>
  </r>
  <r>
    <x v="2129"/>
    <x v="1"/>
    <x v="3"/>
    <n v="32.200000000000003"/>
    <n v="225.40000000000003"/>
    <x v="77"/>
    <d v="2025-03-20T00:00:00"/>
    <x v="2"/>
    <x v="1"/>
    <x v="2"/>
    <x v="0"/>
    <x v="8"/>
    <x v="3"/>
    <x v="11"/>
    <x v="2"/>
  </r>
  <r>
    <x v="2130"/>
    <x v="8"/>
    <x v="0"/>
    <n v="17.399999999999999"/>
    <n v="17.399999999999999"/>
    <x v="77"/>
    <d v="2025-03-23T00:00:00"/>
    <x v="0"/>
    <x v="2"/>
    <x v="1"/>
    <x v="0"/>
    <x v="8"/>
    <x v="5"/>
    <x v="11"/>
    <x v="0"/>
  </r>
  <r>
    <x v="2131"/>
    <x v="8"/>
    <x v="13"/>
    <n v="72.3"/>
    <n v="433.79999999999995"/>
    <x v="77"/>
    <d v="2025-03-22T00:00:00"/>
    <x v="2"/>
    <x v="0"/>
    <x v="0"/>
    <x v="0"/>
    <x v="8"/>
    <x v="2"/>
    <x v="11"/>
    <x v="2"/>
  </r>
  <r>
    <x v="2132"/>
    <x v="8"/>
    <x v="5"/>
    <n v="24.3"/>
    <n v="267.3"/>
    <x v="77"/>
    <d v="2025-03-20T00:00:00"/>
    <x v="1"/>
    <x v="0"/>
    <x v="0"/>
    <x v="0"/>
    <x v="8"/>
    <x v="3"/>
    <x v="11"/>
    <x v="1"/>
  </r>
  <r>
    <x v="2133"/>
    <x v="13"/>
    <x v="2"/>
    <n v="49.1"/>
    <n v="147.30000000000001"/>
    <x v="77"/>
    <d v="2025-03-25T00:00:00"/>
    <x v="1"/>
    <x v="2"/>
    <x v="4"/>
    <x v="0"/>
    <x v="8"/>
    <x v="4"/>
    <x v="11"/>
    <x v="1"/>
  </r>
  <r>
    <x v="2134"/>
    <x v="2"/>
    <x v="7"/>
    <n v="234.7"/>
    <n v="2347"/>
    <x v="77"/>
    <d v="2025-03-20T00:00:00"/>
    <x v="1"/>
    <x v="3"/>
    <x v="1"/>
    <x v="0"/>
    <x v="8"/>
    <x v="3"/>
    <x v="11"/>
    <x v="1"/>
  </r>
  <r>
    <x v="2135"/>
    <x v="3"/>
    <x v="9"/>
    <n v="76.099999999999994"/>
    <n v="380.5"/>
    <x v="77"/>
    <d v="2025-03-21T00:00:00"/>
    <x v="1"/>
    <x v="1"/>
    <x v="1"/>
    <x v="0"/>
    <x v="17"/>
    <x v="1"/>
    <x v="11"/>
    <x v="1"/>
  </r>
  <r>
    <x v="2136"/>
    <x v="1"/>
    <x v="2"/>
    <n v="93.9"/>
    <n v="281.70000000000005"/>
    <x v="77"/>
    <d v="2025-03-20T00:00:00"/>
    <x v="1"/>
    <x v="1"/>
    <x v="4"/>
    <x v="0"/>
    <x v="11"/>
    <x v="3"/>
    <x v="11"/>
    <x v="1"/>
  </r>
  <r>
    <x v="2137"/>
    <x v="2"/>
    <x v="12"/>
    <n v="187"/>
    <n v="748"/>
    <x v="78"/>
    <d v="2025-03-23T00:00:00"/>
    <x v="1"/>
    <x v="0"/>
    <x v="0"/>
    <x v="0"/>
    <x v="11"/>
    <x v="2"/>
    <x v="11"/>
    <x v="1"/>
  </r>
  <r>
    <x v="2138"/>
    <x v="8"/>
    <x v="1"/>
    <n v="18"/>
    <n v="36"/>
    <x v="78"/>
    <d v="2025-03-21T00:00:00"/>
    <x v="2"/>
    <x v="1"/>
    <x v="2"/>
    <x v="0"/>
    <x v="53"/>
    <x v="3"/>
    <x v="11"/>
    <x v="2"/>
  </r>
  <r>
    <x v="2139"/>
    <x v="4"/>
    <x v="0"/>
    <n v="24.4"/>
    <n v="24.4"/>
    <x v="78"/>
    <d v="2025-03-21T00:00:00"/>
    <x v="2"/>
    <x v="4"/>
    <x v="2"/>
    <x v="0"/>
    <x v="21"/>
    <x v="3"/>
    <x v="11"/>
    <x v="2"/>
  </r>
  <r>
    <x v="2140"/>
    <x v="10"/>
    <x v="1"/>
    <n v="38.799999999999997"/>
    <n v="77.599999999999994"/>
    <x v="78"/>
    <d v="2025-03-21T00:00:00"/>
    <x v="1"/>
    <x v="4"/>
    <x v="1"/>
    <x v="0"/>
    <x v="3"/>
    <x v="3"/>
    <x v="11"/>
    <x v="1"/>
  </r>
  <r>
    <x v="2141"/>
    <x v="3"/>
    <x v="0"/>
    <n v="59.7"/>
    <n v="59.7"/>
    <x v="78"/>
    <d v="2025-03-23T00:00:00"/>
    <x v="1"/>
    <x v="3"/>
    <x v="0"/>
    <x v="0"/>
    <x v="3"/>
    <x v="2"/>
    <x v="11"/>
    <x v="1"/>
  </r>
  <r>
    <x v="2142"/>
    <x v="7"/>
    <x v="0"/>
    <n v="31.2"/>
    <n v="31.2"/>
    <x v="78"/>
    <d v="2025-03-21T00:00:00"/>
    <x v="1"/>
    <x v="1"/>
    <x v="2"/>
    <x v="0"/>
    <x v="3"/>
    <x v="3"/>
    <x v="11"/>
    <x v="1"/>
  </r>
  <r>
    <x v="2143"/>
    <x v="0"/>
    <x v="0"/>
    <n v="16.8"/>
    <n v="16.8"/>
    <x v="78"/>
    <d v="2025-03-21T00:00:00"/>
    <x v="2"/>
    <x v="2"/>
    <x v="1"/>
    <x v="0"/>
    <x v="3"/>
    <x v="3"/>
    <x v="11"/>
    <x v="2"/>
  </r>
  <r>
    <x v="2144"/>
    <x v="8"/>
    <x v="0"/>
    <n v="46"/>
    <n v="46"/>
    <x v="78"/>
    <d v="2025-03-21T00:00:00"/>
    <x v="1"/>
    <x v="0"/>
    <x v="0"/>
    <x v="0"/>
    <x v="3"/>
    <x v="3"/>
    <x v="11"/>
    <x v="1"/>
  </r>
  <r>
    <x v="2145"/>
    <x v="9"/>
    <x v="8"/>
    <n v="42.2"/>
    <n v="337.6"/>
    <x v="78"/>
    <d v="2025-03-23T00:00:00"/>
    <x v="2"/>
    <x v="3"/>
    <x v="2"/>
    <x v="0"/>
    <x v="3"/>
    <x v="2"/>
    <x v="11"/>
    <x v="2"/>
  </r>
  <r>
    <x v="2146"/>
    <x v="1"/>
    <x v="2"/>
    <n v="71.5"/>
    <n v="214.5"/>
    <x v="78"/>
    <d v="2025-04-03T00:00:00"/>
    <x v="2"/>
    <x v="0"/>
    <x v="0"/>
    <x v="0"/>
    <x v="3"/>
    <x v="12"/>
    <x v="11"/>
    <x v="2"/>
  </r>
  <r>
    <x v="2147"/>
    <x v="1"/>
    <x v="1"/>
    <n v="76.599999999999994"/>
    <n v="153.19999999999999"/>
    <x v="78"/>
    <d v="2025-03-20T00:00:00"/>
    <x v="1"/>
    <x v="0"/>
    <x v="2"/>
    <x v="0"/>
    <x v="3"/>
    <x v="7"/>
    <x v="11"/>
    <x v="1"/>
  </r>
  <r>
    <x v="2148"/>
    <x v="12"/>
    <x v="1"/>
    <n v="87.3"/>
    <n v="174.6"/>
    <x v="78"/>
    <d v="2025-03-28T00:00:00"/>
    <x v="2"/>
    <x v="3"/>
    <x v="2"/>
    <x v="0"/>
    <x v="3"/>
    <x v="9"/>
    <x v="11"/>
    <x v="2"/>
  </r>
  <r>
    <x v="2149"/>
    <x v="1"/>
    <x v="0"/>
    <n v="63"/>
    <n v="63"/>
    <x v="78"/>
    <d v="2025-03-23T00:00:00"/>
    <x v="1"/>
    <x v="3"/>
    <x v="0"/>
    <x v="0"/>
    <x v="3"/>
    <x v="2"/>
    <x v="11"/>
    <x v="1"/>
  </r>
  <r>
    <x v="2150"/>
    <x v="8"/>
    <x v="1"/>
    <n v="41.7"/>
    <n v="83.4"/>
    <x v="78"/>
    <d v="2025-03-21T00:00:00"/>
    <x v="2"/>
    <x v="4"/>
    <x v="1"/>
    <x v="0"/>
    <x v="43"/>
    <x v="3"/>
    <x v="11"/>
    <x v="2"/>
  </r>
  <r>
    <x v="2151"/>
    <x v="6"/>
    <x v="1"/>
    <n v="76.099999999999994"/>
    <n v="152.19999999999999"/>
    <x v="78"/>
    <d v="2025-03-20T00:00:00"/>
    <x v="2"/>
    <x v="4"/>
    <x v="2"/>
    <x v="0"/>
    <x v="16"/>
    <x v="7"/>
    <x v="11"/>
    <x v="2"/>
  </r>
  <r>
    <x v="2152"/>
    <x v="13"/>
    <x v="1"/>
    <n v="28.5"/>
    <n v="57"/>
    <x v="78"/>
    <d v="2025-03-21T00:00:00"/>
    <x v="2"/>
    <x v="0"/>
    <x v="2"/>
    <x v="0"/>
    <x v="4"/>
    <x v="3"/>
    <x v="11"/>
    <x v="2"/>
  </r>
  <r>
    <x v="2153"/>
    <x v="0"/>
    <x v="12"/>
    <n v="32.1"/>
    <n v="128.4"/>
    <x v="78"/>
    <d v="2025-03-21T00:00:00"/>
    <x v="2"/>
    <x v="1"/>
    <x v="2"/>
    <x v="0"/>
    <x v="25"/>
    <x v="3"/>
    <x v="11"/>
    <x v="2"/>
  </r>
  <r>
    <x v="2154"/>
    <x v="4"/>
    <x v="2"/>
    <n v="39"/>
    <n v="117"/>
    <x v="78"/>
    <d v="2025-03-23T00:00:00"/>
    <x v="1"/>
    <x v="1"/>
    <x v="2"/>
    <x v="0"/>
    <x v="25"/>
    <x v="2"/>
    <x v="11"/>
    <x v="1"/>
  </r>
  <r>
    <x v="2155"/>
    <x v="6"/>
    <x v="0"/>
    <n v="78.5"/>
    <n v="78.5"/>
    <x v="78"/>
    <d v="2025-03-21T00:00:00"/>
    <x v="1"/>
    <x v="1"/>
    <x v="0"/>
    <x v="0"/>
    <x v="6"/>
    <x v="3"/>
    <x v="11"/>
    <x v="1"/>
  </r>
  <r>
    <x v="2156"/>
    <x v="4"/>
    <x v="9"/>
    <n v="49.7"/>
    <n v="248.5"/>
    <x v="78"/>
    <d v="2025-03-22T00:00:00"/>
    <x v="2"/>
    <x v="0"/>
    <x v="0"/>
    <x v="0"/>
    <x v="6"/>
    <x v="1"/>
    <x v="11"/>
    <x v="2"/>
  </r>
  <r>
    <x v="2157"/>
    <x v="1"/>
    <x v="12"/>
    <n v="68.400000000000006"/>
    <n v="273.60000000000002"/>
    <x v="78"/>
    <d v="2025-03-21T00:00:00"/>
    <x v="2"/>
    <x v="2"/>
    <x v="2"/>
    <x v="0"/>
    <x v="7"/>
    <x v="3"/>
    <x v="11"/>
    <x v="2"/>
  </r>
  <r>
    <x v="2158"/>
    <x v="3"/>
    <x v="1"/>
    <n v="72.900000000000006"/>
    <n v="145.80000000000001"/>
    <x v="78"/>
    <d v="2025-03-23T00:00:00"/>
    <x v="0"/>
    <x v="0"/>
    <x v="2"/>
    <x v="0"/>
    <x v="7"/>
    <x v="2"/>
    <x v="11"/>
    <x v="0"/>
  </r>
  <r>
    <x v="2159"/>
    <x v="5"/>
    <x v="15"/>
    <n v="30.3"/>
    <n v="393.90000000000003"/>
    <x v="78"/>
    <d v="2025-03-21T00:00:00"/>
    <x v="1"/>
    <x v="4"/>
    <x v="0"/>
    <x v="0"/>
    <x v="7"/>
    <x v="3"/>
    <x v="11"/>
    <x v="1"/>
  </r>
  <r>
    <x v="2160"/>
    <x v="6"/>
    <x v="5"/>
    <n v="57.9"/>
    <n v="636.9"/>
    <x v="78"/>
    <d v="2025-03-21T00:00:00"/>
    <x v="2"/>
    <x v="0"/>
    <x v="0"/>
    <x v="0"/>
    <x v="8"/>
    <x v="3"/>
    <x v="11"/>
    <x v="2"/>
  </r>
  <r>
    <x v="2161"/>
    <x v="1"/>
    <x v="0"/>
    <n v="96.7"/>
    <n v="96.7"/>
    <x v="78"/>
    <d v="2025-03-21T00:00:00"/>
    <x v="1"/>
    <x v="0"/>
    <x v="0"/>
    <x v="0"/>
    <x v="8"/>
    <x v="3"/>
    <x v="11"/>
    <x v="1"/>
  </r>
  <r>
    <x v="2162"/>
    <x v="8"/>
    <x v="4"/>
    <n v="27.6"/>
    <n v="331.20000000000005"/>
    <x v="78"/>
    <d v="2025-03-22T00:00:00"/>
    <x v="1"/>
    <x v="2"/>
    <x v="2"/>
    <x v="0"/>
    <x v="8"/>
    <x v="1"/>
    <x v="11"/>
    <x v="1"/>
  </r>
  <r>
    <x v="2163"/>
    <x v="6"/>
    <x v="12"/>
    <n v="64.7"/>
    <n v="258.8"/>
    <x v="78"/>
    <d v="2025-03-20T00:00:00"/>
    <x v="1"/>
    <x v="3"/>
    <x v="2"/>
    <x v="0"/>
    <x v="8"/>
    <x v="7"/>
    <x v="11"/>
    <x v="1"/>
  </r>
  <r>
    <x v="2164"/>
    <x v="10"/>
    <x v="13"/>
    <n v="30.5"/>
    <n v="183"/>
    <x v="78"/>
    <d v="2025-03-21T00:00:00"/>
    <x v="1"/>
    <x v="4"/>
    <x v="0"/>
    <x v="0"/>
    <x v="8"/>
    <x v="3"/>
    <x v="11"/>
    <x v="1"/>
  </r>
  <r>
    <x v="2165"/>
    <x v="6"/>
    <x v="47"/>
    <n v="106"/>
    <n v="7420"/>
    <x v="79"/>
    <d v="2025-03-23T00:00:00"/>
    <x v="1"/>
    <x v="4"/>
    <x v="2"/>
    <x v="0"/>
    <x v="8"/>
    <x v="1"/>
    <x v="11"/>
    <x v="1"/>
  </r>
  <r>
    <x v="2166"/>
    <x v="12"/>
    <x v="9"/>
    <n v="76.8"/>
    <n v="384"/>
    <x v="79"/>
    <d v="2025-03-27T00:00:00"/>
    <x v="0"/>
    <x v="1"/>
    <x v="1"/>
    <x v="0"/>
    <x v="18"/>
    <x v="4"/>
    <x v="11"/>
    <x v="0"/>
  </r>
  <r>
    <x v="2167"/>
    <x v="6"/>
    <x v="1"/>
    <n v="80.400000000000006"/>
    <n v="160.80000000000001"/>
    <x v="79"/>
    <d v="2025-03-22T00:00:00"/>
    <x v="2"/>
    <x v="2"/>
    <x v="0"/>
    <x v="0"/>
    <x v="13"/>
    <x v="3"/>
    <x v="11"/>
    <x v="2"/>
  </r>
  <r>
    <x v="2168"/>
    <x v="6"/>
    <x v="12"/>
    <n v="69.099999999999994"/>
    <n v="276.39999999999998"/>
    <x v="79"/>
    <d v="2025-03-22T00:00:00"/>
    <x v="1"/>
    <x v="1"/>
    <x v="2"/>
    <x v="0"/>
    <x v="21"/>
    <x v="3"/>
    <x v="11"/>
    <x v="1"/>
  </r>
  <r>
    <x v="2169"/>
    <x v="18"/>
    <x v="1"/>
    <n v="76.400000000000006"/>
    <n v="152.80000000000001"/>
    <x v="79"/>
    <d v="2025-03-21T00:00:00"/>
    <x v="1"/>
    <x v="3"/>
    <x v="0"/>
    <x v="0"/>
    <x v="21"/>
    <x v="7"/>
    <x v="11"/>
    <x v="1"/>
  </r>
  <r>
    <x v="2170"/>
    <x v="2"/>
    <x v="1"/>
    <n v="61.3"/>
    <n v="122.6"/>
    <x v="79"/>
    <d v="2025-03-22T00:00:00"/>
    <x v="2"/>
    <x v="1"/>
    <x v="1"/>
    <x v="0"/>
    <x v="21"/>
    <x v="3"/>
    <x v="11"/>
    <x v="2"/>
  </r>
  <r>
    <x v="2171"/>
    <x v="7"/>
    <x v="0"/>
    <n v="58"/>
    <n v="58"/>
    <x v="79"/>
    <d v="2025-03-22T00:00:00"/>
    <x v="1"/>
    <x v="3"/>
    <x v="1"/>
    <x v="0"/>
    <x v="1"/>
    <x v="3"/>
    <x v="11"/>
    <x v="1"/>
  </r>
  <r>
    <x v="2172"/>
    <x v="2"/>
    <x v="8"/>
    <n v="102.3"/>
    <n v="818.4"/>
    <x v="79"/>
    <d v="2025-03-23T00:00:00"/>
    <x v="1"/>
    <x v="2"/>
    <x v="0"/>
    <x v="0"/>
    <x v="42"/>
    <x v="1"/>
    <x v="11"/>
    <x v="1"/>
  </r>
  <r>
    <x v="2173"/>
    <x v="19"/>
    <x v="1"/>
    <n v="13.8"/>
    <n v="27.6"/>
    <x v="79"/>
    <d v="2025-03-22T00:00:00"/>
    <x v="2"/>
    <x v="4"/>
    <x v="2"/>
    <x v="0"/>
    <x v="2"/>
    <x v="3"/>
    <x v="11"/>
    <x v="2"/>
  </r>
  <r>
    <x v="2174"/>
    <x v="8"/>
    <x v="2"/>
    <n v="33.299999999999997"/>
    <n v="99.899999999999991"/>
    <x v="79"/>
    <d v="2025-03-24T00:00:00"/>
    <x v="2"/>
    <x v="2"/>
    <x v="0"/>
    <x v="0"/>
    <x v="22"/>
    <x v="2"/>
    <x v="11"/>
    <x v="2"/>
  </r>
  <r>
    <x v="2175"/>
    <x v="10"/>
    <x v="0"/>
    <n v="27.4"/>
    <n v="27.4"/>
    <x v="79"/>
    <d v="2025-03-24T00:00:00"/>
    <x v="1"/>
    <x v="0"/>
    <x v="2"/>
    <x v="0"/>
    <x v="22"/>
    <x v="2"/>
    <x v="11"/>
    <x v="1"/>
  </r>
  <r>
    <x v="2176"/>
    <x v="14"/>
    <x v="1"/>
    <n v="25.6"/>
    <n v="51.2"/>
    <x v="79"/>
    <d v="2025-03-22T00:00:00"/>
    <x v="2"/>
    <x v="1"/>
    <x v="1"/>
    <x v="0"/>
    <x v="3"/>
    <x v="3"/>
    <x v="11"/>
    <x v="2"/>
  </r>
  <r>
    <x v="2177"/>
    <x v="13"/>
    <x v="0"/>
    <n v="58.4"/>
    <n v="58.4"/>
    <x v="79"/>
    <d v="2025-03-22T00:00:00"/>
    <x v="2"/>
    <x v="2"/>
    <x v="2"/>
    <x v="0"/>
    <x v="3"/>
    <x v="3"/>
    <x v="11"/>
    <x v="2"/>
  </r>
  <r>
    <x v="2178"/>
    <x v="11"/>
    <x v="17"/>
    <n v="27"/>
    <n v="810"/>
    <x v="79"/>
    <d v="2025-03-22T00:00:00"/>
    <x v="2"/>
    <x v="4"/>
    <x v="0"/>
    <x v="0"/>
    <x v="3"/>
    <x v="3"/>
    <x v="11"/>
    <x v="2"/>
  </r>
  <r>
    <x v="2179"/>
    <x v="0"/>
    <x v="12"/>
    <n v="14.2"/>
    <n v="56.8"/>
    <x v="79"/>
    <d v="2025-03-22T00:00:00"/>
    <x v="1"/>
    <x v="0"/>
    <x v="2"/>
    <x v="0"/>
    <x v="3"/>
    <x v="3"/>
    <x v="11"/>
    <x v="1"/>
  </r>
  <r>
    <x v="2180"/>
    <x v="7"/>
    <x v="1"/>
    <n v="68"/>
    <n v="136"/>
    <x v="79"/>
    <d v="2025-03-31T00:00:00"/>
    <x v="1"/>
    <x v="2"/>
    <x v="1"/>
    <x v="0"/>
    <x v="3"/>
    <x v="14"/>
    <x v="11"/>
    <x v="1"/>
  </r>
  <r>
    <x v="2181"/>
    <x v="8"/>
    <x v="0"/>
    <n v="30.7"/>
    <n v="30.7"/>
    <x v="79"/>
    <d v="2025-03-22T00:00:00"/>
    <x v="1"/>
    <x v="0"/>
    <x v="0"/>
    <x v="0"/>
    <x v="3"/>
    <x v="3"/>
    <x v="11"/>
    <x v="1"/>
  </r>
  <r>
    <x v="2182"/>
    <x v="17"/>
    <x v="15"/>
    <n v="51.6"/>
    <n v="670.80000000000007"/>
    <x v="79"/>
    <d v="2025-03-24T00:00:00"/>
    <x v="3"/>
    <x v="1"/>
    <x v="2"/>
    <x v="0"/>
    <x v="3"/>
    <x v="2"/>
    <x v="11"/>
    <x v="3"/>
  </r>
  <r>
    <x v="2183"/>
    <x v="8"/>
    <x v="2"/>
    <n v="20.6"/>
    <n v="61.800000000000004"/>
    <x v="79"/>
    <d v="2025-03-25T00:00:00"/>
    <x v="2"/>
    <x v="4"/>
    <x v="2"/>
    <x v="0"/>
    <x v="3"/>
    <x v="5"/>
    <x v="11"/>
    <x v="2"/>
  </r>
  <r>
    <x v="2184"/>
    <x v="8"/>
    <x v="0"/>
    <n v="24.8"/>
    <n v="24.8"/>
    <x v="79"/>
    <d v="2025-03-22T00:00:00"/>
    <x v="1"/>
    <x v="4"/>
    <x v="0"/>
    <x v="0"/>
    <x v="3"/>
    <x v="3"/>
    <x v="11"/>
    <x v="1"/>
  </r>
  <r>
    <x v="2185"/>
    <x v="0"/>
    <x v="3"/>
    <n v="11.2"/>
    <n v="78.399999999999991"/>
    <x v="79"/>
    <d v="2025-03-24T00:00:00"/>
    <x v="1"/>
    <x v="1"/>
    <x v="0"/>
    <x v="0"/>
    <x v="3"/>
    <x v="2"/>
    <x v="11"/>
    <x v="1"/>
  </r>
  <r>
    <x v="2186"/>
    <x v="11"/>
    <x v="1"/>
    <n v="51.2"/>
    <n v="102.4"/>
    <x v="79"/>
    <d v="2025-03-22T00:00:00"/>
    <x v="2"/>
    <x v="1"/>
    <x v="2"/>
    <x v="0"/>
    <x v="3"/>
    <x v="3"/>
    <x v="11"/>
    <x v="2"/>
  </r>
  <r>
    <x v="2187"/>
    <x v="7"/>
    <x v="13"/>
    <n v="90.5"/>
    <n v="543"/>
    <x v="79"/>
    <d v="2025-03-22T00:00:00"/>
    <x v="2"/>
    <x v="1"/>
    <x v="4"/>
    <x v="0"/>
    <x v="3"/>
    <x v="3"/>
    <x v="11"/>
    <x v="2"/>
  </r>
  <r>
    <x v="2188"/>
    <x v="1"/>
    <x v="1"/>
    <n v="42.4"/>
    <n v="84.8"/>
    <x v="79"/>
    <d v="2025-03-22T00:00:00"/>
    <x v="1"/>
    <x v="1"/>
    <x v="2"/>
    <x v="0"/>
    <x v="4"/>
    <x v="3"/>
    <x v="11"/>
    <x v="1"/>
  </r>
  <r>
    <x v="2189"/>
    <x v="1"/>
    <x v="1"/>
    <n v="38.200000000000003"/>
    <n v="76.400000000000006"/>
    <x v="79"/>
    <d v="2025-03-22T00:00:00"/>
    <x v="1"/>
    <x v="0"/>
    <x v="0"/>
    <x v="0"/>
    <x v="5"/>
    <x v="3"/>
    <x v="11"/>
    <x v="1"/>
  </r>
  <r>
    <x v="2190"/>
    <x v="2"/>
    <x v="11"/>
    <n v="121.3"/>
    <n v="1091.7"/>
    <x v="79"/>
    <d v="2025-03-26T00:00:00"/>
    <x v="1"/>
    <x v="0"/>
    <x v="0"/>
    <x v="0"/>
    <x v="6"/>
    <x v="0"/>
    <x v="11"/>
    <x v="1"/>
  </r>
  <r>
    <x v="2191"/>
    <x v="6"/>
    <x v="1"/>
    <n v="46.9"/>
    <n v="93.8"/>
    <x v="79"/>
    <d v="2025-03-28T00:00:00"/>
    <x v="1"/>
    <x v="0"/>
    <x v="0"/>
    <x v="0"/>
    <x v="8"/>
    <x v="6"/>
    <x v="11"/>
    <x v="1"/>
  </r>
  <r>
    <x v="2192"/>
    <x v="10"/>
    <x v="0"/>
    <n v="55.3"/>
    <n v="55.3"/>
    <x v="79"/>
    <d v="2025-03-23T00:00:00"/>
    <x v="1"/>
    <x v="0"/>
    <x v="0"/>
    <x v="0"/>
    <x v="8"/>
    <x v="1"/>
    <x v="11"/>
    <x v="1"/>
  </r>
  <r>
    <x v="2193"/>
    <x v="2"/>
    <x v="2"/>
    <n v="70.599999999999994"/>
    <n v="211.79999999999998"/>
    <x v="80"/>
    <d v="2025-03-22T00:00:00"/>
    <x v="2"/>
    <x v="0"/>
    <x v="1"/>
    <x v="0"/>
    <x v="8"/>
    <x v="7"/>
    <x v="11"/>
    <x v="2"/>
  </r>
  <r>
    <x v="2194"/>
    <x v="14"/>
    <x v="12"/>
    <n v="26.1"/>
    <n v="104.4"/>
    <x v="80"/>
    <d v="2025-03-24T00:00:00"/>
    <x v="1"/>
    <x v="0"/>
    <x v="0"/>
    <x v="0"/>
    <x v="8"/>
    <x v="1"/>
    <x v="11"/>
    <x v="1"/>
  </r>
  <r>
    <x v="2195"/>
    <x v="9"/>
    <x v="5"/>
    <n v="34.5"/>
    <n v="379.5"/>
    <x v="80"/>
    <d v="2025-03-26T00:00:00"/>
    <x v="1"/>
    <x v="2"/>
    <x v="0"/>
    <x v="0"/>
    <x v="17"/>
    <x v="5"/>
    <x v="11"/>
    <x v="1"/>
  </r>
  <r>
    <x v="2196"/>
    <x v="1"/>
    <x v="1"/>
    <n v="64.2"/>
    <n v="128.4"/>
    <x v="80"/>
    <d v="2025-03-23T00:00:00"/>
    <x v="2"/>
    <x v="0"/>
    <x v="1"/>
    <x v="0"/>
    <x v="17"/>
    <x v="3"/>
    <x v="11"/>
    <x v="2"/>
  </r>
  <r>
    <x v="2197"/>
    <x v="2"/>
    <x v="12"/>
    <n v="145.69999999999999"/>
    <n v="582.79999999999995"/>
    <x v="80"/>
    <d v="2025-03-23T00:00:00"/>
    <x v="2"/>
    <x v="0"/>
    <x v="4"/>
    <x v="0"/>
    <x v="17"/>
    <x v="3"/>
    <x v="11"/>
    <x v="2"/>
  </r>
  <r>
    <x v="2198"/>
    <x v="12"/>
    <x v="1"/>
    <n v="78.5"/>
    <n v="157"/>
    <x v="80"/>
    <d v="2025-03-23T00:00:00"/>
    <x v="1"/>
    <x v="2"/>
    <x v="0"/>
    <x v="0"/>
    <x v="26"/>
    <x v="3"/>
    <x v="11"/>
    <x v="1"/>
  </r>
  <r>
    <x v="2199"/>
    <x v="1"/>
    <x v="0"/>
    <n v="34.200000000000003"/>
    <n v="34.200000000000003"/>
    <x v="80"/>
    <d v="2025-03-24T00:00:00"/>
    <x v="1"/>
    <x v="0"/>
    <x v="0"/>
    <x v="0"/>
    <x v="9"/>
    <x v="1"/>
    <x v="11"/>
    <x v="1"/>
  </r>
  <r>
    <x v="2200"/>
    <x v="19"/>
    <x v="0"/>
    <n v="26.2"/>
    <n v="26.2"/>
    <x v="80"/>
    <d v="2025-03-23T00:00:00"/>
    <x v="1"/>
    <x v="2"/>
    <x v="0"/>
    <x v="0"/>
    <x v="9"/>
    <x v="3"/>
    <x v="11"/>
    <x v="1"/>
  </r>
  <r>
    <x v="2201"/>
    <x v="6"/>
    <x v="12"/>
    <n v="53.2"/>
    <n v="212.8"/>
    <x v="80"/>
    <d v="2025-03-23T00:00:00"/>
    <x v="1"/>
    <x v="1"/>
    <x v="1"/>
    <x v="0"/>
    <x v="11"/>
    <x v="3"/>
    <x v="11"/>
    <x v="1"/>
  </r>
  <r>
    <x v="2202"/>
    <x v="1"/>
    <x v="0"/>
    <n v="35.4"/>
    <n v="35.4"/>
    <x v="80"/>
    <d v="2025-03-26T00:00:00"/>
    <x v="1"/>
    <x v="1"/>
    <x v="4"/>
    <x v="0"/>
    <x v="18"/>
    <x v="5"/>
    <x v="11"/>
    <x v="1"/>
  </r>
  <r>
    <x v="2203"/>
    <x v="14"/>
    <x v="1"/>
    <n v="21.3"/>
    <n v="42.6"/>
    <x v="80"/>
    <d v="2025-03-23T00:00:00"/>
    <x v="1"/>
    <x v="2"/>
    <x v="0"/>
    <x v="0"/>
    <x v="20"/>
    <x v="3"/>
    <x v="11"/>
    <x v="1"/>
  </r>
  <r>
    <x v="2204"/>
    <x v="8"/>
    <x v="12"/>
    <n v="32.9"/>
    <n v="131.6"/>
    <x v="80"/>
    <d v="2025-03-25T00:00:00"/>
    <x v="2"/>
    <x v="4"/>
    <x v="2"/>
    <x v="0"/>
    <x v="21"/>
    <x v="2"/>
    <x v="11"/>
    <x v="2"/>
  </r>
  <r>
    <x v="2205"/>
    <x v="5"/>
    <x v="20"/>
    <n v="85.5"/>
    <n v="1282.5"/>
    <x v="80"/>
    <d v="2025-03-24T00:00:00"/>
    <x v="2"/>
    <x v="3"/>
    <x v="1"/>
    <x v="0"/>
    <x v="21"/>
    <x v="1"/>
    <x v="11"/>
    <x v="2"/>
  </r>
  <r>
    <x v="2206"/>
    <x v="4"/>
    <x v="0"/>
    <n v="26.8"/>
    <n v="26.8"/>
    <x v="80"/>
    <d v="2025-03-23T00:00:00"/>
    <x v="2"/>
    <x v="0"/>
    <x v="1"/>
    <x v="0"/>
    <x v="2"/>
    <x v="3"/>
    <x v="11"/>
    <x v="2"/>
  </r>
  <r>
    <x v="2207"/>
    <x v="9"/>
    <x v="18"/>
    <n v="31.7"/>
    <n v="824.19999999999993"/>
    <x v="80"/>
    <d v="2025-03-22T00:00:00"/>
    <x v="2"/>
    <x v="3"/>
    <x v="0"/>
    <x v="0"/>
    <x v="2"/>
    <x v="7"/>
    <x v="11"/>
    <x v="2"/>
  </r>
  <r>
    <x v="2208"/>
    <x v="1"/>
    <x v="1"/>
    <n v="78.3"/>
    <n v="156.6"/>
    <x v="80"/>
    <d v="2025-03-24T00:00:00"/>
    <x v="2"/>
    <x v="1"/>
    <x v="1"/>
    <x v="0"/>
    <x v="3"/>
    <x v="1"/>
    <x v="11"/>
    <x v="2"/>
  </r>
  <r>
    <x v="2209"/>
    <x v="6"/>
    <x v="0"/>
    <n v="43.9"/>
    <n v="43.9"/>
    <x v="80"/>
    <d v="2025-03-23T00:00:00"/>
    <x v="1"/>
    <x v="0"/>
    <x v="0"/>
    <x v="0"/>
    <x v="3"/>
    <x v="3"/>
    <x v="11"/>
    <x v="1"/>
  </r>
  <r>
    <x v="2210"/>
    <x v="18"/>
    <x v="2"/>
    <n v="84"/>
    <n v="252"/>
    <x v="80"/>
    <d v="2025-03-24T00:00:00"/>
    <x v="0"/>
    <x v="3"/>
    <x v="2"/>
    <x v="0"/>
    <x v="3"/>
    <x v="1"/>
    <x v="11"/>
    <x v="0"/>
  </r>
  <r>
    <x v="2211"/>
    <x v="0"/>
    <x v="2"/>
    <n v="11.4"/>
    <n v="34.200000000000003"/>
    <x v="80"/>
    <d v="2025-03-23T00:00:00"/>
    <x v="1"/>
    <x v="4"/>
    <x v="0"/>
    <x v="0"/>
    <x v="3"/>
    <x v="3"/>
    <x v="11"/>
    <x v="1"/>
  </r>
  <r>
    <x v="2212"/>
    <x v="12"/>
    <x v="8"/>
    <n v="47.5"/>
    <n v="380"/>
    <x v="80"/>
    <d v="2025-03-30T00:00:00"/>
    <x v="2"/>
    <x v="0"/>
    <x v="0"/>
    <x v="0"/>
    <x v="3"/>
    <x v="9"/>
    <x v="11"/>
    <x v="2"/>
  </r>
  <r>
    <x v="2213"/>
    <x v="9"/>
    <x v="5"/>
    <n v="50.5"/>
    <n v="555.5"/>
    <x v="80"/>
    <d v="2025-03-24T00:00:00"/>
    <x v="1"/>
    <x v="2"/>
    <x v="0"/>
    <x v="0"/>
    <x v="3"/>
    <x v="1"/>
    <x v="11"/>
    <x v="1"/>
  </r>
  <r>
    <x v="2214"/>
    <x v="15"/>
    <x v="0"/>
    <n v="36.299999999999997"/>
    <n v="36.299999999999997"/>
    <x v="80"/>
    <d v="2025-03-25T00:00:00"/>
    <x v="3"/>
    <x v="0"/>
    <x v="1"/>
    <x v="0"/>
    <x v="8"/>
    <x v="2"/>
    <x v="11"/>
    <x v="3"/>
  </r>
  <r>
    <x v="2215"/>
    <x v="8"/>
    <x v="1"/>
    <n v="35.4"/>
    <n v="70.8"/>
    <x v="80"/>
    <d v="2025-03-23T00:00:00"/>
    <x v="2"/>
    <x v="0"/>
    <x v="0"/>
    <x v="0"/>
    <x v="17"/>
    <x v="3"/>
    <x v="11"/>
    <x v="2"/>
  </r>
  <r>
    <x v="2216"/>
    <x v="1"/>
    <x v="2"/>
    <n v="45.9"/>
    <n v="137.69999999999999"/>
    <x v="81"/>
    <d v="2025-03-24T00:00:00"/>
    <x v="1"/>
    <x v="3"/>
    <x v="0"/>
    <x v="0"/>
    <x v="9"/>
    <x v="3"/>
    <x v="12"/>
    <x v="1"/>
  </r>
  <r>
    <x v="2217"/>
    <x v="6"/>
    <x v="7"/>
    <n v="41.2"/>
    <n v="412"/>
    <x v="81"/>
    <d v="2025-03-27T00:00:00"/>
    <x v="1"/>
    <x v="0"/>
    <x v="0"/>
    <x v="0"/>
    <x v="11"/>
    <x v="5"/>
    <x v="12"/>
    <x v="1"/>
  </r>
  <r>
    <x v="2218"/>
    <x v="17"/>
    <x v="1"/>
    <n v="45.1"/>
    <n v="90.2"/>
    <x v="81"/>
    <d v="2025-03-24T00:00:00"/>
    <x v="1"/>
    <x v="1"/>
    <x v="1"/>
    <x v="0"/>
    <x v="21"/>
    <x v="3"/>
    <x v="12"/>
    <x v="1"/>
  </r>
  <r>
    <x v="2219"/>
    <x v="6"/>
    <x v="7"/>
    <n v="63.6"/>
    <n v="636"/>
    <x v="81"/>
    <d v="2025-03-23T00:00:00"/>
    <x v="1"/>
    <x v="2"/>
    <x v="0"/>
    <x v="0"/>
    <x v="1"/>
    <x v="7"/>
    <x v="12"/>
    <x v="1"/>
  </r>
  <r>
    <x v="2220"/>
    <x v="8"/>
    <x v="0"/>
    <n v="70.5"/>
    <n v="70.5"/>
    <x v="81"/>
    <d v="2025-03-24T00:00:00"/>
    <x v="1"/>
    <x v="0"/>
    <x v="0"/>
    <x v="0"/>
    <x v="3"/>
    <x v="3"/>
    <x v="12"/>
    <x v="1"/>
  </r>
  <r>
    <x v="2221"/>
    <x v="6"/>
    <x v="0"/>
    <n v="41.3"/>
    <n v="41.3"/>
    <x v="81"/>
    <d v="2025-03-23T00:00:00"/>
    <x v="1"/>
    <x v="4"/>
    <x v="0"/>
    <x v="0"/>
    <x v="3"/>
    <x v="7"/>
    <x v="12"/>
    <x v="1"/>
  </r>
  <r>
    <x v="2222"/>
    <x v="4"/>
    <x v="0"/>
    <n v="35.299999999999997"/>
    <n v="35.299999999999997"/>
    <x v="81"/>
    <d v="2025-03-26T00:00:00"/>
    <x v="2"/>
    <x v="4"/>
    <x v="2"/>
    <x v="0"/>
    <x v="3"/>
    <x v="2"/>
    <x v="12"/>
    <x v="2"/>
  </r>
  <r>
    <x v="2223"/>
    <x v="8"/>
    <x v="9"/>
    <n v="34.700000000000003"/>
    <n v="173.5"/>
    <x v="81"/>
    <d v="2025-03-24T00:00:00"/>
    <x v="2"/>
    <x v="0"/>
    <x v="2"/>
    <x v="0"/>
    <x v="3"/>
    <x v="3"/>
    <x v="12"/>
    <x v="2"/>
  </r>
  <r>
    <x v="2224"/>
    <x v="8"/>
    <x v="2"/>
    <n v="26.1"/>
    <n v="78.300000000000011"/>
    <x v="81"/>
    <d v="2025-03-24T00:00:00"/>
    <x v="2"/>
    <x v="0"/>
    <x v="0"/>
    <x v="0"/>
    <x v="3"/>
    <x v="3"/>
    <x v="12"/>
    <x v="2"/>
  </r>
  <r>
    <x v="2225"/>
    <x v="9"/>
    <x v="9"/>
    <n v="22.6"/>
    <n v="113"/>
    <x v="81"/>
    <d v="2025-03-23T00:00:00"/>
    <x v="2"/>
    <x v="1"/>
    <x v="2"/>
    <x v="0"/>
    <x v="3"/>
    <x v="7"/>
    <x v="12"/>
    <x v="2"/>
  </r>
  <r>
    <x v="2226"/>
    <x v="2"/>
    <x v="1"/>
    <n v="154.4"/>
    <n v="308.8"/>
    <x v="81"/>
    <d v="2025-03-26T00:00:00"/>
    <x v="1"/>
    <x v="1"/>
    <x v="1"/>
    <x v="0"/>
    <x v="3"/>
    <x v="2"/>
    <x v="12"/>
    <x v="1"/>
  </r>
  <r>
    <x v="2227"/>
    <x v="8"/>
    <x v="1"/>
    <n v="18.399999999999999"/>
    <n v="36.799999999999997"/>
    <x v="81"/>
    <d v="2025-03-24T00:00:00"/>
    <x v="1"/>
    <x v="0"/>
    <x v="0"/>
    <x v="0"/>
    <x v="3"/>
    <x v="3"/>
    <x v="12"/>
    <x v="1"/>
  </r>
  <r>
    <x v="2228"/>
    <x v="14"/>
    <x v="0"/>
    <n v="25"/>
    <n v="25"/>
    <x v="81"/>
    <d v="2025-03-26T00:00:00"/>
    <x v="2"/>
    <x v="0"/>
    <x v="0"/>
    <x v="0"/>
    <x v="3"/>
    <x v="2"/>
    <x v="12"/>
    <x v="2"/>
  </r>
  <r>
    <x v="2229"/>
    <x v="2"/>
    <x v="13"/>
    <n v="105.6"/>
    <n v="633.59999999999991"/>
    <x v="81"/>
    <d v="2025-03-23T00:00:00"/>
    <x v="2"/>
    <x v="0"/>
    <x v="0"/>
    <x v="0"/>
    <x v="3"/>
    <x v="7"/>
    <x v="12"/>
    <x v="2"/>
  </r>
  <r>
    <x v="2230"/>
    <x v="18"/>
    <x v="8"/>
    <n v="59.6"/>
    <n v="476.8"/>
    <x v="81"/>
    <d v="2025-03-23T00:00:00"/>
    <x v="2"/>
    <x v="0"/>
    <x v="2"/>
    <x v="0"/>
    <x v="23"/>
    <x v="7"/>
    <x v="12"/>
    <x v="2"/>
  </r>
  <r>
    <x v="2231"/>
    <x v="15"/>
    <x v="2"/>
    <n v="75.400000000000006"/>
    <n v="226.20000000000002"/>
    <x v="81"/>
    <d v="2025-03-28T00:00:00"/>
    <x v="1"/>
    <x v="0"/>
    <x v="1"/>
    <x v="0"/>
    <x v="7"/>
    <x v="0"/>
    <x v="12"/>
    <x v="1"/>
  </r>
  <r>
    <x v="2232"/>
    <x v="7"/>
    <x v="0"/>
    <n v="104.4"/>
    <n v="104.4"/>
    <x v="81"/>
    <d v="2025-03-24T00:00:00"/>
    <x v="2"/>
    <x v="0"/>
    <x v="0"/>
    <x v="0"/>
    <x v="8"/>
    <x v="3"/>
    <x v="12"/>
    <x v="2"/>
  </r>
  <r>
    <x v="2233"/>
    <x v="2"/>
    <x v="7"/>
    <n v="208.2"/>
    <n v="2082"/>
    <x v="81"/>
    <d v="2025-03-24T00:00:00"/>
    <x v="1"/>
    <x v="0"/>
    <x v="2"/>
    <x v="0"/>
    <x v="8"/>
    <x v="3"/>
    <x v="12"/>
    <x v="1"/>
  </r>
  <r>
    <x v="2234"/>
    <x v="6"/>
    <x v="1"/>
    <n v="45"/>
    <n v="90"/>
    <x v="81"/>
    <d v="2025-03-26T00:00:00"/>
    <x v="2"/>
    <x v="0"/>
    <x v="0"/>
    <x v="0"/>
    <x v="10"/>
    <x v="2"/>
    <x v="12"/>
    <x v="2"/>
  </r>
  <r>
    <x v="2235"/>
    <x v="15"/>
    <x v="1"/>
    <n v="20.3"/>
    <n v="40.6"/>
    <x v="82"/>
    <d v="2025-03-26T00:00:00"/>
    <x v="0"/>
    <x v="1"/>
    <x v="0"/>
    <x v="0"/>
    <x v="11"/>
    <x v="1"/>
    <x v="12"/>
    <x v="0"/>
  </r>
  <r>
    <x v="2236"/>
    <x v="2"/>
    <x v="2"/>
    <n v="94.4"/>
    <n v="283.20000000000005"/>
    <x v="82"/>
    <d v="2025-03-25T00:00:00"/>
    <x v="2"/>
    <x v="0"/>
    <x v="2"/>
    <x v="0"/>
    <x v="11"/>
    <x v="3"/>
    <x v="12"/>
    <x v="2"/>
  </r>
  <r>
    <x v="2237"/>
    <x v="9"/>
    <x v="0"/>
    <n v="49"/>
    <n v="49"/>
    <x v="82"/>
    <d v="2025-03-26T00:00:00"/>
    <x v="2"/>
    <x v="0"/>
    <x v="2"/>
    <x v="0"/>
    <x v="20"/>
    <x v="1"/>
    <x v="12"/>
    <x v="2"/>
  </r>
  <r>
    <x v="2238"/>
    <x v="4"/>
    <x v="1"/>
    <n v="27.2"/>
    <n v="54.4"/>
    <x v="82"/>
    <d v="2025-03-26T00:00:00"/>
    <x v="1"/>
    <x v="0"/>
    <x v="2"/>
    <x v="0"/>
    <x v="1"/>
    <x v="1"/>
    <x v="12"/>
    <x v="1"/>
  </r>
  <r>
    <x v="2239"/>
    <x v="2"/>
    <x v="13"/>
    <n v="72.599999999999994"/>
    <n v="435.59999999999997"/>
    <x v="82"/>
    <d v="2025-03-25T00:00:00"/>
    <x v="2"/>
    <x v="0"/>
    <x v="2"/>
    <x v="0"/>
    <x v="2"/>
    <x v="3"/>
    <x v="12"/>
    <x v="2"/>
  </r>
  <r>
    <x v="2240"/>
    <x v="15"/>
    <x v="12"/>
    <n v="62.4"/>
    <n v="249.6"/>
    <x v="82"/>
    <d v="2025-03-25T00:00:00"/>
    <x v="2"/>
    <x v="0"/>
    <x v="0"/>
    <x v="0"/>
    <x v="3"/>
    <x v="3"/>
    <x v="12"/>
    <x v="2"/>
  </r>
  <r>
    <x v="2241"/>
    <x v="8"/>
    <x v="2"/>
    <n v="19.100000000000001"/>
    <n v="57.300000000000004"/>
    <x v="82"/>
    <d v="2025-03-26T00:00:00"/>
    <x v="1"/>
    <x v="0"/>
    <x v="1"/>
    <x v="0"/>
    <x v="3"/>
    <x v="1"/>
    <x v="12"/>
    <x v="1"/>
  </r>
  <r>
    <x v="2242"/>
    <x v="10"/>
    <x v="0"/>
    <n v="29.6"/>
    <n v="29.6"/>
    <x v="82"/>
    <d v="2025-03-28T00:00:00"/>
    <x v="1"/>
    <x v="0"/>
    <x v="4"/>
    <x v="0"/>
    <x v="3"/>
    <x v="5"/>
    <x v="12"/>
    <x v="1"/>
  </r>
  <r>
    <x v="2243"/>
    <x v="8"/>
    <x v="1"/>
    <n v="18.899999999999999"/>
    <n v="37.799999999999997"/>
    <x v="82"/>
    <d v="2025-03-26T00:00:00"/>
    <x v="2"/>
    <x v="4"/>
    <x v="2"/>
    <x v="0"/>
    <x v="3"/>
    <x v="1"/>
    <x v="12"/>
    <x v="2"/>
  </r>
  <r>
    <x v="2244"/>
    <x v="10"/>
    <x v="9"/>
    <n v="41.4"/>
    <n v="207"/>
    <x v="82"/>
    <d v="2025-03-25T00:00:00"/>
    <x v="1"/>
    <x v="3"/>
    <x v="0"/>
    <x v="0"/>
    <x v="3"/>
    <x v="3"/>
    <x v="12"/>
    <x v="1"/>
  </r>
  <r>
    <x v="2245"/>
    <x v="2"/>
    <x v="0"/>
    <n v="118.4"/>
    <n v="118.4"/>
    <x v="82"/>
    <d v="2025-03-25T00:00:00"/>
    <x v="2"/>
    <x v="0"/>
    <x v="2"/>
    <x v="0"/>
    <x v="3"/>
    <x v="3"/>
    <x v="12"/>
    <x v="2"/>
  </r>
  <r>
    <x v="2246"/>
    <x v="2"/>
    <x v="1"/>
    <n v="125.3"/>
    <n v="250.6"/>
    <x v="82"/>
    <d v="2025-03-27T00:00:00"/>
    <x v="2"/>
    <x v="0"/>
    <x v="2"/>
    <x v="0"/>
    <x v="3"/>
    <x v="2"/>
    <x v="12"/>
    <x v="2"/>
  </r>
  <r>
    <x v="2247"/>
    <x v="3"/>
    <x v="1"/>
    <n v="85.8"/>
    <n v="171.6"/>
    <x v="82"/>
    <d v="2025-03-25T00:00:00"/>
    <x v="2"/>
    <x v="1"/>
    <x v="4"/>
    <x v="0"/>
    <x v="3"/>
    <x v="3"/>
    <x v="12"/>
    <x v="2"/>
  </r>
  <r>
    <x v="2248"/>
    <x v="6"/>
    <x v="0"/>
    <n v="44.2"/>
    <n v="44.2"/>
    <x v="82"/>
    <d v="2025-03-27T00:00:00"/>
    <x v="1"/>
    <x v="1"/>
    <x v="0"/>
    <x v="0"/>
    <x v="3"/>
    <x v="2"/>
    <x v="12"/>
    <x v="1"/>
  </r>
  <r>
    <x v="2249"/>
    <x v="5"/>
    <x v="12"/>
    <n v="74.099999999999994"/>
    <n v="296.39999999999998"/>
    <x v="82"/>
    <d v="2025-03-26T00:00:00"/>
    <x v="2"/>
    <x v="0"/>
    <x v="0"/>
    <x v="0"/>
    <x v="3"/>
    <x v="1"/>
    <x v="12"/>
    <x v="2"/>
  </r>
  <r>
    <x v="2250"/>
    <x v="8"/>
    <x v="0"/>
    <n v="33.799999999999997"/>
    <n v="33.799999999999997"/>
    <x v="82"/>
    <d v="2025-03-25T00:00:00"/>
    <x v="2"/>
    <x v="2"/>
    <x v="2"/>
    <x v="0"/>
    <x v="24"/>
    <x v="3"/>
    <x v="12"/>
    <x v="2"/>
  </r>
  <r>
    <x v="2251"/>
    <x v="1"/>
    <x v="1"/>
    <n v="39.1"/>
    <n v="78.2"/>
    <x v="82"/>
    <d v="2025-03-25T00:00:00"/>
    <x v="1"/>
    <x v="0"/>
    <x v="1"/>
    <x v="0"/>
    <x v="24"/>
    <x v="3"/>
    <x v="12"/>
    <x v="1"/>
  </r>
  <r>
    <x v="2252"/>
    <x v="0"/>
    <x v="0"/>
    <n v="37.200000000000003"/>
    <n v="37.200000000000003"/>
    <x v="82"/>
    <d v="2025-03-25T00:00:00"/>
    <x v="1"/>
    <x v="0"/>
    <x v="1"/>
    <x v="0"/>
    <x v="16"/>
    <x v="3"/>
    <x v="12"/>
    <x v="1"/>
  </r>
  <r>
    <x v="2253"/>
    <x v="15"/>
    <x v="2"/>
    <n v="33.9"/>
    <n v="101.69999999999999"/>
    <x v="82"/>
    <d v="2025-03-26T00:00:00"/>
    <x v="1"/>
    <x v="2"/>
    <x v="0"/>
    <x v="0"/>
    <x v="6"/>
    <x v="1"/>
    <x v="12"/>
    <x v="1"/>
  </r>
  <r>
    <x v="2254"/>
    <x v="7"/>
    <x v="20"/>
    <n v="73.3"/>
    <n v="1099.5"/>
    <x v="82"/>
    <d v="2025-03-27T00:00:00"/>
    <x v="2"/>
    <x v="2"/>
    <x v="1"/>
    <x v="0"/>
    <x v="8"/>
    <x v="2"/>
    <x v="12"/>
    <x v="2"/>
  </r>
  <r>
    <x v="2255"/>
    <x v="8"/>
    <x v="12"/>
    <n v="35"/>
    <n v="140"/>
    <x v="82"/>
    <d v="2025-03-26T00:00:00"/>
    <x v="2"/>
    <x v="1"/>
    <x v="0"/>
    <x v="0"/>
    <x v="8"/>
    <x v="1"/>
    <x v="12"/>
    <x v="2"/>
  </r>
  <r>
    <x v="2256"/>
    <x v="0"/>
    <x v="2"/>
    <n v="22.2"/>
    <n v="66.599999999999994"/>
    <x v="82"/>
    <d v="2025-03-25T00:00:00"/>
    <x v="1"/>
    <x v="1"/>
    <x v="0"/>
    <x v="0"/>
    <x v="17"/>
    <x v="3"/>
    <x v="12"/>
    <x v="1"/>
  </r>
  <r>
    <x v="2257"/>
    <x v="10"/>
    <x v="0"/>
    <n v="32.4"/>
    <n v="32.4"/>
    <x v="82"/>
    <d v="2025-03-25T00:00:00"/>
    <x v="2"/>
    <x v="0"/>
    <x v="0"/>
    <x v="0"/>
    <x v="11"/>
    <x v="3"/>
    <x v="12"/>
    <x v="2"/>
  </r>
  <r>
    <x v="2258"/>
    <x v="5"/>
    <x v="2"/>
    <n v="88.4"/>
    <n v="265.20000000000005"/>
    <x v="83"/>
    <d v="2025-03-27T00:00:00"/>
    <x v="2"/>
    <x v="1"/>
    <x v="1"/>
    <x v="0"/>
    <x v="11"/>
    <x v="1"/>
    <x v="12"/>
    <x v="2"/>
  </r>
  <r>
    <x v="2259"/>
    <x v="5"/>
    <x v="27"/>
    <n v="30.5"/>
    <n v="488"/>
    <x v="83"/>
    <d v="2025-03-26T00:00:00"/>
    <x v="2"/>
    <x v="2"/>
    <x v="0"/>
    <x v="0"/>
    <x v="11"/>
    <x v="3"/>
    <x v="12"/>
    <x v="2"/>
  </r>
  <r>
    <x v="2260"/>
    <x v="1"/>
    <x v="13"/>
    <n v="38.1"/>
    <n v="228.60000000000002"/>
    <x v="83"/>
    <d v="2025-03-27T00:00:00"/>
    <x v="2"/>
    <x v="0"/>
    <x v="1"/>
    <x v="0"/>
    <x v="11"/>
    <x v="1"/>
    <x v="12"/>
    <x v="2"/>
  </r>
  <r>
    <x v="2261"/>
    <x v="10"/>
    <x v="9"/>
    <n v="37.6"/>
    <n v="188"/>
    <x v="83"/>
    <d v="2025-03-29T00:00:00"/>
    <x v="1"/>
    <x v="0"/>
    <x v="0"/>
    <x v="0"/>
    <x v="11"/>
    <x v="5"/>
    <x v="12"/>
    <x v="1"/>
  </r>
  <r>
    <x v="2262"/>
    <x v="15"/>
    <x v="1"/>
    <n v="31.4"/>
    <n v="62.8"/>
    <x v="83"/>
    <d v="2025-03-26T00:00:00"/>
    <x v="1"/>
    <x v="0"/>
    <x v="2"/>
    <x v="0"/>
    <x v="11"/>
    <x v="3"/>
    <x v="12"/>
    <x v="1"/>
  </r>
  <r>
    <x v="2263"/>
    <x v="6"/>
    <x v="1"/>
    <n v="61.5"/>
    <n v="123"/>
    <x v="83"/>
    <d v="2025-03-26T00:00:00"/>
    <x v="1"/>
    <x v="3"/>
    <x v="0"/>
    <x v="0"/>
    <x v="31"/>
    <x v="3"/>
    <x v="12"/>
    <x v="1"/>
  </r>
  <r>
    <x v="2264"/>
    <x v="6"/>
    <x v="0"/>
    <n v="72.599999999999994"/>
    <n v="72.599999999999994"/>
    <x v="83"/>
    <d v="2025-03-26T00:00:00"/>
    <x v="1"/>
    <x v="0"/>
    <x v="1"/>
    <x v="0"/>
    <x v="21"/>
    <x v="3"/>
    <x v="12"/>
    <x v="1"/>
  </r>
  <r>
    <x v="2265"/>
    <x v="9"/>
    <x v="2"/>
    <n v="26.9"/>
    <n v="80.699999999999989"/>
    <x v="83"/>
    <d v="2025-03-30T00:00:00"/>
    <x v="3"/>
    <x v="4"/>
    <x v="1"/>
    <x v="0"/>
    <x v="46"/>
    <x v="0"/>
    <x v="12"/>
    <x v="3"/>
  </r>
  <r>
    <x v="2266"/>
    <x v="17"/>
    <x v="4"/>
    <n v="29.4"/>
    <n v="352.79999999999995"/>
    <x v="83"/>
    <d v="2025-03-26T00:00:00"/>
    <x v="2"/>
    <x v="1"/>
    <x v="0"/>
    <x v="0"/>
    <x v="51"/>
    <x v="3"/>
    <x v="12"/>
    <x v="2"/>
  </r>
  <r>
    <x v="2267"/>
    <x v="17"/>
    <x v="1"/>
    <n v="42.1"/>
    <n v="84.2"/>
    <x v="83"/>
    <d v="2025-03-26T00:00:00"/>
    <x v="2"/>
    <x v="3"/>
    <x v="1"/>
    <x v="0"/>
    <x v="1"/>
    <x v="3"/>
    <x v="12"/>
    <x v="2"/>
  </r>
  <r>
    <x v="2268"/>
    <x v="5"/>
    <x v="0"/>
    <n v="40.5"/>
    <n v="40.5"/>
    <x v="83"/>
    <d v="2025-03-26T00:00:00"/>
    <x v="2"/>
    <x v="2"/>
    <x v="1"/>
    <x v="0"/>
    <x v="1"/>
    <x v="3"/>
    <x v="12"/>
    <x v="2"/>
  </r>
  <r>
    <x v="2269"/>
    <x v="2"/>
    <x v="12"/>
    <n v="182.3"/>
    <n v="729.2"/>
    <x v="83"/>
    <d v="2025-03-26T00:00:00"/>
    <x v="2"/>
    <x v="1"/>
    <x v="0"/>
    <x v="0"/>
    <x v="1"/>
    <x v="3"/>
    <x v="12"/>
    <x v="2"/>
  </r>
  <r>
    <x v="2270"/>
    <x v="2"/>
    <x v="9"/>
    <n v="157"/>
    <n v="785"/>
    <x v="83"/>
    <d v="2025-03-28T00:00:00"/>
    <x v="2"/>
    <x v="1"/>
    <x v="2"/>
    <x v="0"/>
    <x v="2"/>
    <x v="2"/>
    <x v="12"/>
    <x v="2"/>
  </r>
  <r>
    <x v="2271"/>
    <x v="17"/>
    <x v="9"/>
    <n v="45.2"/>
    <n v="226"/>
    <x v="83"/>
    <d v="2025-03-28T00:00:00"/>
    <x v="2"/>
    <x v="1"/>
    <x v="0"/>
    <x v="0"/>
    <x v="22"/>
    <x v="2"/>
    <x v="12"/>
    <x v="2"/>
  </r>
  <r>
    <x v="2272"/>
    <x v="15"/>
    <x v="12"/>
    <n v="27.4"/>
    <n v="109.6"/>
    <x v="83"/>
    <d v="2025-03-27T00:00:00"/>
    <x v="2"/>
    <x v="0"/>
    <x v="0"/>
    <x v="0"/>
    <x v="3"/>
    <x v="1"/>
    <x v="12"/>
    <x v="2"/>
  </r>
  <r>
    <x v="2273"/>
    <x v="5"/>
    <x v="9"/>
    <n v="34.1"/>
    <n v="170.5"/>
    <x v="83"/>
    <d v="2025-03-27T00:00:00"/>
    <x v="1"/>
    <x v="0"/>
    <x v="2"/>
    <x v="0"/>
    <x v="3"/>
    <x v="1"/>
    <x v="12"/>
    <x v="1"/>
  </r>
  <r>
    <x v="2274"/>
    <x v="0"/>
    <x v="1"/>
    <n v="26"/>
    <n v="52"/>
    <x v="83"/>
    <d v="2025-03-27T00:00:00"/>
    <x v="1"/>
    <x v="2"/>
    <x v="1"/>
    <x v="0"/>
    <x v="3"/>
    <x v="1"/>
    <x v="12"/>
    <x v="1"/>
  </r>
  <r>
    <x v="2275"/>
    <x v="8"/>
    <x v="3"/>
    <n v="19.399999999999999"/>
    <n v="135.79999999999998"/>
    <x v="83"/>
    <d v="2025-03-27T00:00:00"/>
    <x v="0"/>
    <x v="1"/>
    <x v="1"/>
    <x v="0"/>
    <x v="3"/>
    <x v="1"/>
    <x v="12"/>
    <x v="0"/>
  </r>
  <r>
    <x v="2276"/>
    <x v="16"/>
    <x v="2"/>
    <n v="30.3"/>
    <n v="90.9"/>
    <x v="83"/>
    <d v="2025-03-28T00:00:00"/>
    <x v="2"/>
    <x v="1"/>
    <x v="2"/>
    <x v="0"/>
    <x v="3"/>
    <x v="2"/>
    <x v="12"/>
    <x v="2"/>
  </r>
  <r>
    <x v="2277"/>
    <x v="2"/>
    <x v="2"/>
    <n v="101.4"/>
    <n v="304.20000000000005"/>
    <x v="83"/>
    <d v="2025-03-26T00:00:00"/>
    <x v="1"/>
    <x v="0"/>
    <x v="0"/>
    <x v="0"/>
    <x v="3"/>
    <x v="3"/>
    <x v="12"/>
    <x v="1"/>
  </r>
  <r>
    <x v="2278"/>
    <x v="3"/>
    <x v="9"/>
    <n v="55.5"/>
    <n v="277.5"/>
    <x v="83"/>
    <d v="2025-03-28T00:00:00"/>
    <x v="1"/>
    <x v="1"/>
    <x v="0"/>
    <x v="0"/>
    <x v="24"/>
    <x v="2"/>
    <x v="12"/>
    <x v="1"/>
  </r>
  <r>
    <x v="2279"/>
    <x v="8"/>
    <x v="0"/>
    <n v="23.1"/>
    <n v="23.1"/>
    <x v="83"/>
    <d v="2025-03-26T00:00:00"/>
    <x v="1"/>
    <x v="0"/>
    <x v="0"/>
    <x v="0"/>
    <x v="25"/>
    <x v="3"/>
    <x v="12"/>
    <x v="1"/>
  </r>
  <r>
    <x v="2280"/>
    <x v="18"/>
    <x v="1"/>
    <n v="38.9"/>
    <n v="77.8"/>
    <x v="83"/>
    <d v="2025-03-26T00:00:00"/>
    <x v="1"/>
    <x v="2"/>
    <x v="0"/>
    <x v="0"/>
    <x v="25"/>
    <x v="3"/>
    <x v="12"/>
    <x v="1"/>
  </r>
  <r>
    <x v="2281"/>
    <x v="6"/>
    <x v="11"/>
    <n v="116.3"/>
    <n v="1046.7"/>
    <x v="83"/>
    <d v="2025-03-29T00:00:00"/>
    <x v="2"/>
    <x v="0"/>
    <x v="0"/>
    <x v="0"/>
    <x v="5"/>
    <x v="5"/>
    <x v="12"/>
    <x v="2"/>
  </r>
  <r>
    <x v="2282"/>
    <x v="16"/>
    <x v="11"/>
    <n v="64.099999999999994"/>
    <n v="576.9"/>
    <x v="83"/>
    <d v="2025-03-25T00:00:00"/>
    <x v="2"/>
    <x v="0"/>
    <x v="2"/>
    <x v="0"/>
    <x v="6"/>
    <x v="7"/>
    <x v="12"/>
    <x v="2"/>
  </r>
  <r>
    <x v="2283"/>
    <x v="2"/>
    <x v="13"/>
    <n v="109.2"/>
    <n v="655.20000000000005"/>
    <x v="83"/>
    <d v="2025-03-27T00:00:00"/>
    <x v="1"/>
    <x v="0"/>
    <x v="1"/>
    <x v="0"/>
    <x v="8"/>
    <x v="1"/>
    <x v="12"/>
    <x v="1"/>
  </r>
  <r>
    <x v="2284"/>
    <x v="10"/>
    <x v="9"/>
    <n v="23.2"/>
    <n v="116"/>
    <x v="84"/>
    <d v="2025-03-27T00:00:00"/>
    <x v="1"/>
    <x v="0"/>
    <x v="1"/>
    <x v="0"/>
    <x v="8"/>
    <x v="3"/>
    <x v="12"/>
    <x v="1"/>
  </r>
  <r>
    <x v="2285"/>
    <x v="18"/>
    <x v="13"/>
    <n v="81.2"/>
    <n v="487.20000000000005"/>
    <x v="84"/>
    <d v="2025-03-28T00:00:00"/>
    <x v="1"/>
    <x v="2"/>
    <x v="2"/>
    <x v="0"/>
    <x v="8"/>
    <x v="1"/>
    <x v="12"/>
    <x v="1"/>
  </r>
  <r>
    <x v="2286"/>
    <x v="1"/>
    <x v="21"/>
    <n v="35.700000000000003"/>
    <n v="499.80000000000007"/>
    <x v="84"/>
    <d v="2025-03-27T00:00:00"/>
    <x v="1"/>
    <x v="3"/>
    <x v="0"/>
    <x v="0"/>
    <x v="8"/>
    <x v="3"/>
    <x v="12"/>
    <x v="1"/>
  </r>
  <r>
    <x v="2287"/>
    <x v="7"/>
    <x v="1"/>
    <n v="44.5"/>
    <n v="89"/>
    <x v="84"/>
    <d v="2025-03-29T00:00:00"/>
    <x v="1"/>
    <x v="4"/>
    <x v="0"/>
    <x v="0"/>
    <x v="9"/>
    <x v="2"/>
    <x v="12"/>
    <x v="1"/>
  </r>
  <r>
    <x v="2288"/>
    <x v="1"/>
    <x v="9"/>
    <n v="32"/>
    <n v="160"/>
    <x v="84"/>
    <d v="2025-03-28T00:00:00"/>
    <x v="3"/>
    <x v="1"/>
    <x v="1"/>
    <x v="0"/>
    <x v="9"/>
    <x v="1"/>
    <x v="12"/>
    <x v="3"/>
  </r>
  <r>
    <x v="2289"/>
    <x v="8"/>
    <x v="0"/>
    <n v="25.7"/>
    <n v="25.7"/>
    <x v="84"/>
    <d v="2025-03-27T00:00:00"/>
    <x v="1"/>
    <x v="0"/>
    <x v="0"/>
    <x v="0"/>
    <x v="10"/>
    <x v="3"/>
    <x v="12"/>
    <x v="1"/>
  </r>
  <r>
    <x v="2290"/>
    <x v="16"/>
    <x v="2"/>
    <n v="65.599999999999994"/>
    <n v="196.79999999999998"/>
    <x v="84"/>
    <d v="2025-04-01T00:00:00"/>
    <x v="1"/>
    <x v="0"/>
    <x v="0"/>
    <x v="0"/>
    <x v="11"/>
    <x v="4"/>
    <x v="12"/>
    <x v="1"/>
  </r>
  <r>
    <x v="2291"/>
    <x v="1"/>
    <x v="12"/>
    <n v="52.1"/>
    <n v="208.4"/>
    <x v="84"/>
    <d v="2025-03-27T00:00:00"/>
    <x v="2"/>
    <x v="0"/>
    <x v="2"/>
    <x v="0"/>
    <x v="11"/>
    <x v="3"/>
    <x v="12"/>
    <x v="2"/>
  </r>
  <r>
    <x v="2292"/>
    <x v="8"/>
    <x v="0"/>
    <n v="31"/>
    <n v="31"/>
    <x v="84"/>
    <d v="2025-03-27T00:00:00"/>
    <x v="1"/>
    <x v="0"/>
    <x v="1"/>
    <x v="0"/>
    <x v="19"/>
    <x v="3"/>
    <x v="12"/>
    <x v="1"/>
  </r>
  <r>
    <x v="2293"/>
    <x v="8"/>
    <x v="0"/>
    <n v="32"/>
    <n v="32"/>
    <x v="84"/>
    <d v="2025-03-28T00:00:00"/>
    <x v="3"/>
    <x v="3"/>
    <x v="1"/>
    <x v="0"/>
    <x v="31"/>
    <x v="1"/>
    <x v="12"/>
    <x v="3"/>
  </r>
  <r>
    <x v="2294"/>
    <x v="16"/>
    <x v="12"/>
    <n v="58.3"/>
    <n v="233.2"/>
    <x v="84"/>
    <d v="2025-03-30T00:00:00"/>
    <x v="1"/>
    <x v="1"/>
    <x v="4"/>
    <x v="0"/>
    <x v="20"/>
    <x v="5"/>
    <x v="12"/>
    <x v="1"/>
  </r>
  <r>
    <x v="2295"/>
    <x v="8"/>
    <x v="2"/>
    <n v="31"/>
    <n v="93"/>
    <x v="84"/>
    <d v="2025-03-28T00:00:00"/>
    <x v="2"/>
    <x v="2"/>
    <x v="4"/>
    <x v="0"/>
    <x v="13"/>
    <x v="1"/>
    <x v="12"/>
    <x v="2"/>
  </r>
  <r>
    <x v="2296"/>
    <x v="3"/>
    <x v="0"/>
    <n v="40.299999999999997"/>
    <n v="40.299999999999997"/>
    <x v="84"/>
    <d v="2025-03-27T00:00:00"/>
    <x v="1"/>
    <x v="1"/>
    <x v="2"/>
    <x v="0"/>
    <x v="54"/>
    <x v="3"/>
    <x v="12"/>
    <x v="1"/>
  </r>
  <r>
    <x v="2297"/>
    <x v="6"/>
    <x v="2"/>
    <n v="47.3"/>
    <n v="141.89999999999998"/>
    <x v="84"/>
    <d v="2025-03-28T00:00:00"/>
    <x v="1"/>
    <x v="4"/>
    <x v="2"/>
    <x v="0"/>
    <x v="2"/>
    <x v="1"/>
    <x v="12"/>
    <x v="1"/>
  </r>
  <r>
    <x v="2298"/>
    <x v="2"/>
    <x v="0"/>
    <n v="82.8"/>
    <n v="82.8"/>
    <x v="84"/>
    <d v="2025-03-27T00:00:00"/>
    <x v="1"/>
    <x v="0"/>
    <x v="0"/>
    <x v="0"/>
    <x v="2"/>
    <x v="3"/>
    <x v="12"/>
    <x v="1"/>
  </r>
  <r>
    <x v="2299"/>
    <x v="8"/>
    <x v="0"/>
    <n v="18.5"/>
    <n v="18.5"/>
    <x v="84"/>
    <d v="2025-04-09T00:00:00"/>
    <x v="2"/>
    <x v="0"/>
    <x v="0"/>
    <x v="0"/>
    <x v="44"/>
    <x v="12"/>
    <x v="12"/>
    <x v="2"/>
  </r>
  <r>
    <x v="2300"/>
    <x v="3"/>
    <x v="1"/>
    <n v="60.4"/>
    <n v="120.8"/>
    <x v="84"/>
    <d v="2025-03-27T00:00:00"/>
    <x v="1"/>
    <x v="2"/>
    <x v="0"/>
    <x v="0"/>
    <x v="22"/>
    <x v="3"/>
    <x v="12"/>
    <x v="1"/>
  </r>
  <r>
    <x v="2301"/>
    <x v="6"/>
    <x v="9"/>
    <n v="80.2"/>
    <n v="401"/>
    <x v="84"/>
    <d v="2025-04-02T00:00:00"/>
    <x v="1"/>
    <x v="1"/>
    <x v="1"/>
    <x v="0"/>
    <x v="50"/>
    <x v="6"/>
    <x v="12"/>
    <x v="1"/>
  </r>
  <r>
    <x v="2302"/>
    <x v="4"/>
    <x v="0"/>
    <n v="41.5"/>
    <n v="41.5"/>
    <x v="84"/>
    <d v="2025-03-28T00:00:00"/>
    <x v="1"/>
    <x v="2"/>
    <x v="0"/>
    <x v="0"/>
    <x v="3"/>
    <x v="1"/>
    <x v="12"/>
    <x v="1"/>
  </r>
  <r>
    <x v="2303"/>
    <x v="2"/>
    <x v="1"/>
    <n v="83.9"/>
    <n v="167.8"/>
    <x v="84"/>
    <d v="2025-03-29T00:00:00"/>
    <x v="2"/>
    <x v="0"/>
    <x v="0"/>
    <x v="0"/>
    <x v="3"/>
    <x v="2"/>
    <x v="12"/>
    <x v="2"/>
  </r>
  <r>
    <x v="2304"/>
    <x v="8"/>
    <x v="1"/>
    <n v="16.7"/>
    <n v="33.4"/>
    <x v="84"/>
    <d v="2025-03-30T00:00:00"/>
    <x v="2"/>
    <x v="0"/>
    <x v="1"/>
    <x v="0"/>
    <x v="3"/>
    <x v="5"/>
    <x v="12"/>
    <x v="2"/>
  </r>
  <r>
    <x v="2305"/>
    <x v="9"/>
    <x v="1"/>
    <n v="72.900000000000006"/>
    <n v="145.80000000000001"/>
    <x v="84"/>
    <d v="2025-03-27T00:00:00"/>
    <x v="1"/>
    <x v="2"/>
    <x v="1"/>
    <x v="0"/>
    <x v="3"/>
    <x v="3"/>
    <x v="12"/>
    <x v="1"/>
  </r>
  <r>
    <x v="2306"/>
    <x v="5"/>
    <x v="1"/>
    <n v="50.2"/>
    <n v="100.4"/>
    <x v="84"/>
    <d v="2025-03-28T00:00:00"/>
    <x v="2"/>
    <x v="1"/>
    <x v="2"/>
    <x v="0"/>
    <x v="3"/>
    <x v="1"/>
    <x v="12"/>
    <x v="2"/>
  </r>
  <r>
    <x v="2307"/>
    <x v="3"/>
    <x v="1"/>
    <n v="34.200000000000003"/>
    <n v="68.400000000000006"/>
    <x v="84"/>
    <d v="2025-04-05T00:00:00"/>
    <x v="0"/>
    <x v="1"/>
    <x v="0"/>
    <x v="0"/>
    <x v="3"/>
    <x v="14"/>
    <x v="12"/>
    <x v="0"/>
  </r>
  <r>
    <x v="2308"/>
    <x v="5"/>
    <x v="1"/>
    <n v="107.9"/>
    <n v="215.8"/>
    <x v="84"/>
    <d v="2025-03-26T00:00:00"/>
    <x v="1"/>
    <x v="1"/>
    <x v="4"/>
    <x v="0"/>
    <x v="3"/>
    <x v="7"/>
    <x v="12"/>
    <x v="1"/>
  </r>
  <r>
    <x v="2309"/>
    <x v="0"/>
    <x v="2"/>
    <n v="17.5"/>
    <n v="52.5"/>
    <x v="84"/>
    <d v="2025-03-28T00:00:00"/>
    <x v="1"/>
    <x v="4"/>
    <x v="0"/>
    <x v="0"/>
    <x v="3"/>
    <x v="1"/>
    <x v="12"/>
    <x v="1"/>
  </r>
  <r>
    <x v="2310"/>
    <x v="13"/>
    <x v="20"/>
    <n v="44.7"/>
    <n v="670.5"/>
    <x v="84"/>
    <d v="2025-03-27T00:00:00"/>
    <x v="1"/>
    <x v="0"/>
    <x v="1"/>
    <x v="0"/>
    <x v="3"/>
    <x v="3"/>
    <x v="12"/>
    <x v="1"/>
  </r>
  <r>
    <x v="2311"/>
    <x v="12"/>
    <x v="13"/>
    <n v="92.7"/>
    <n v="556.20000000000005"/>
    <x v="84"/>
    <d v="2025-03-28T00:00:00"/>
    <x v="2"/>
    <x v="2"/>
    <x v="1"/>
    <x v="0"/>
    <x v="3"/>
    <x v="1"/>
    <x v="12"/>
    <x v="2"/>
  </r>
  <r>
    <x v="2312"/>
    <x v="7"/>
    <x v="2"/>
    <n v="48.8"/>
    <n v="146.39999999999998"/>
    <x v="84"/>
    <d v="2025-03-28T00:00:00"/>
    <x v="2"/>
    <x v="2"/>
    <x v="0"/>
    <x v="0"/>
    <x v="3"/>
    <x v="1"/>
    <x v="12"/>
    <x v="2"/>
  </r>
  <r>
    <x v="2313"/>
    <x v="4"/>
    <x v="27"/>
    <n v="21.3"/>
    <n v="340.8"/>
    <x v="84"/>
    <d v="2025-03-30T00:00:00"/>
    <x v="2"/>
    <x v="3"/>
    <x v="3"/>
    <x v="0"/>
    <x v="3"/>
    <x v="5"/>
    <x v="12"/>
    <x v="2"/>
  </r>
  <r>
    <x v="2314"/>
    <x v="16"/>
    <x v="0"/>
    <n v="52.5"/>
    <n v="52.5"/>
    <x v="84"/>
    <d v="2025-03-27T00:00:00"/>
    <x v="2"/>
    <x v="0"/>
    <x v="0"/>
    <x v="0"/>
    <x v="3"/>
    <x v="3"/>
    <x v="12"/>
    <x v="2"/>
  </r>
  <r>
    <x v="2315"/>
    <x v="1"/>
    <x v="1"/>
    <n v="92.4"/>
    <n v="184.8"/>
    <x v="84"/>
    <d v="2025-04-01T00:00:00"/>
    <x v="2"/>
    <x v="0"/>
    <x v="2"/>
    <x v="0"/>
    <x v="3"/>
    <x v="4"/>
    <x v="12"/>
    <x v="2"/>
  </r>
  <r>
    <x v="2316"/>
    <x v="4"/>
    <x v="5"/>
    <n v="58.3"/>
    <n v="641.29999999999995"/>
    <x v="84"/>
    <d v="2025-03-28T00:00:00"/>
    <x v="1"/>
    <x v="1"/>
    <x v="2"/>
    <x v="0"/>
    <x v="3"/>
    <x v="1"/>
    <x v="12"/>
    <x v="1"/>
  </r>
  <r>
    <x v="2317"/>
    <x v="6"/>
    <x v="44"/>
    <n v="152.6"/>
    <n v="3509.7999999999997"/>
    <x v="85"/>
    <d v="2025-03-29T00:00:00"/>
    <x v="0"/>
    <x v="0"/>
    <x v="0"/>
    <x v="0"/>
    <x v="3"/>
    <x v="1"/>
    <x v="12"/>
    <x v="0"/>
  </r>
  <r>
    <x v="2318"/>
    <x v="8"/>
    <x v="1"/>
    <n v="26"/>
    <n v="52"/>
    <x v="85"/>
    <d v="2025-03-27T00:00:00"/>
    <x v="0"/>
    <x v="0"/>
    <x v="1"/>
    <x v="0"/>
    <x v="3"/>
    <x v="7"/>
    <x v="12"/>
    <x v="0"/>
  </r>
  <r>
    <x v="2319"/>
    <x v="1"/>
    <x v="12"/>
    <n v="33.1"/>
    <n v="132.4"/>
    <x v="85"/>
    <d v="2025-03-27T00:00:00"/>
    <x v="1"/>
    <x v="2"/>
    <x v="4"/>
    <x v="0"/>
    <x v="5"/>
    <x v="7"/>
    <x v="12"/>
    <x v="1"/>
  </r>
  <r>
    <x v="2320"/>
    <x v="18"/>
    <x v="0"/>
    <n v="51.4"/>
    <n v="51.4"/>
    <x v="85"/>
    <d v="2025-03-29T00:00:00"/>
    <x v="2"/>
    <x v="1"/>
    <x v="1"/>
    <x v="0"/>
    <x v="5"/>
    <x v="1"/>
    <x v="12"/>
    <x v="2"/>
  </r>
  <r>
    <x v="2321"/>
    <x v="8"/>
    <x v="1"/>
    <n v="30.2"/>
    <n v="60.4"/>
    <x v="85"/>
    <d v="2025-03-28T00:00:00"/>
    <x v="2"/>
    <x v="2"/>
    <x v="2"/>
    <x v="0"/>
    <x v="6"/>
    <x v="3"/>
    <x v="12"/>
    <x v="2"/>
  </r>
  <r>
    <x v="2322"/>
    <x v="2"/>
    <x v="13"/>
    <n v="97"/>
    <n v="582"/>
    <x v="85"/>
    <d v="2025-03-31T00:00:00"/>
    <x v="2"/>
    <x v="0"/>
    <x v="2"/>
    <x v="0"/>
    <x v="7"/>
    <x v="5"/>
    <x v="12"/>
    <x v="2"/>
  </r>
  <r>
    <x v="2323"/>
    <x v="2"/>
    <x v="0"/>
    <n v="76.900000000000006"/>
    <n v="76.900000000000006"/>
    <x v="85"/>
    <d v="2025-03-28T00:00:00"/>
    <x v="1"/>
    <x v="1"/>
    <x v="2"/>
    <x v="0"/>
    <x v="8"/>
    <x v="3"/>
    <x v="12"/>
    <x v="1"/>
  </r>
  <r>
    <x v="2324"/>
    <x v="7"/>
    <x v="13"/>
    <n v="36.1"/>
    <n v="216.60000000000002"/>
    <x v="85"/>
    <d v="2025-03-31T00:00:00"/>
    <x v="2"/>
    <x v="0"/>
    <x v="0"/>
    <x v="0"/>
    <x v="8"/>
    <x v="5"/>
    <x v="12"/>
    <x v="2"/>
  </r>
  <r>
    <x v="2325"/>
    <x v="1"/>
    <x v="3"/>
    <n v="34.4"/>
    <n v="240.79999999999998"/>
    <x v="85"/>
    <d v="2025-03-27T00:00:00"/>
    <x v="2"/>
    <x v="2"/>
    <x v="1"/>
    <x v="0"/>
    <x v="11"/>
    <x v="7"/>
    <x v="12"/>
    <x v="2"/>
  </r>
  <r>
    <x v="2326"/>
    <x v="1"/>
    <x v="31"/>
    <n v="53.4"/>
    <n v="1495.2"/>
    <x v="85"/>
    <d v="2025-03-29T00:00:00"/>
    <x v="2"/>
    <x v="1"/>
    <x v="0"/>
    <x v="0"/>
    <x v="18"/>
    <x v="1"/>
    <x v="12"/>
    <x v="2"/>
  </r>
  <r>
    <x v="2327"/>
    <x v="2"/>
    <x v="0"/>
    <n v="77.599999999999994"/>
    <n v="77.599999999999994"/>
    <x v="85"/>
    <d v="2025-03-28T00:00:00"/>
    <x v="2"/>
    <x v="0"/>
    <x v="1"/>
    <x v="0"/>
    <x v="19"/>
    <x v="3"/>
    <x v="12"/>
    <x v="2"/>
  </r>
  <r>
    <x v="2328"/>
    <x v="1"/>
    <x v="2"/>
    <n v="71.7"/>
    <n v="215.10000000000002"/>
    <x v="85"/>
    <d v="2025-03-30T00:00:00"/>
    <x v="2"/>
    <x v="1"/>
    <x v="0"/>
    <x v="0"/>
    <x v="19"/>
    <x v="2"/>
    <x v="12"/>
    <x v="2"/>
  </r>
  <r>
    <x v="2329"/>
    <x v="3"/>
    <x v="2"/>
    <n v="80.599999999999994"/>
    <n v="241.79999999999998"/>
    <x v="85"/>
    <d v="2025-03-28T00:00:00"/>
    <x v="1"/>
    <x v="4"/>
    <x v="1"/>
    <x v="0"/>
    <x v="19"/>
    <x v="3"/>
    <x v="12"/>
    <x v="1"/>
  </r>
  <r>
    <x v="2330"/>
    <x v="1"/>
    <x v="20"/>
    <n v="70"/>
    <n v="1050"/>
    <x v="85"/>
    <d v="2025-03-29T00:00:00"/>
    <x v="1"/>
    <x v="0"/>
    <x v="0"/>
    <x v="0"/>
    <x v="20"/>
    <x v="1"/>
    <x v="12"/>
    <x v="1"/>
  </r>
  <r>
    <x v="2331"/>
    <x v="4"/>
    <x v="13"/>
    <n v="27.3"/>
    <n v="163.80000000000001"/>
    <x v="85"/>
    <d v="2025-03-29T00:00:00"/>
    <x v="2"/>
    <x v="1"/>
    <x v="1"/>
    <x v="0"/>
    <x v="2"/>
    <x v="1"/>
    <x v="12"/>
    <x v="2"/>
  </r>
  <r>
    <x v="2332"/>
    <x v="8"/>
    <x v="21"/>
    <n v="37.6"/>
    <n v="526.4"/>
    <x v="85"/>
    <d v="2025-03-29T00:00:00"/>
    <x v="1"/>
    <x v="1"/>
    <x v="0"/>
    <x v="0"/>
    <x v="3"/>
    <x v="1"/>
    <x v="12"/>
    <x v="1"/>
  </r>
  <r>
    <x v="2333"/>
    <x v="5"/>
    <x v="2"/>
    <n v="36.6"/>
    <n v="109.80000000000001"/>
    <x v="85"/>
    <d v="2025-03-29T00:00:00"/>
    <x v="2"/>
    <x v="4"/>
    <x v="0"/>
    <x v="0"/>
    <x v="3"/>
    <x v="1"/>
    <x v="12"/>
    <x v="2"/>
  </r>
  <r>
    <x v="2334"/>
    <x v="13"/>
    <x v="0"/>
    <n v="55.2"/>
    <n v="55.2"/>
    <x v="85"/>
    <d v="2025-03-29T00:00:00"/>
    <x v="1"/>
    <x v="3"/>
    <x v="0"/>
    <x v="0"/>
    <x v="3"/>
    <x v="1"/>
    <x v="12"/>
    <x v="1"/>
  </r>
  <r>
    <x v="2335"/>
    <x v="6"/>
    <x v="9"/>
    <n v="59.9"/>
    <n v="299.5"/>
    <x v="85"/>
    <d v="2025-03-29T00:00:00"/>
    <x v="1"/>
    <x v="0"/>
    <x v="0"/>
    <x v="0"/>
    <x v="3"/>
    <x v="1"/>
    <x v="12"/>
    <x v="1"/>
  </r>
  <r>
    <x v="2336"/>
    <x v="6"/>
    <x v="0"/>
    <n v="44"/>
    <n v="44"/>
    <x v="85"/>
    <d v="2025-03-28T00:00:00"/>
    <x v="2"/>
    <x v="2"/>
    <x v="2"/>
    <x v="0"/>
    <x v="3"/>
    <x v="3"/>
    <x v="12"/>
    <x v="2"/>
  </r>
  <r>
    <x v="2337"/>
    <x v="9"/>
    <x v="1"/>
    <n v="68.7"/>
    <n v="137.4"/>
    <x v="85"/>
    <d v="2025-03-27T00:00:00"/>
    <x v="1"/>
    <x v="0"/>
    <x v="0"/>
    <x v="0"/>
    <x v="3"/>
    <x v="7"/>
    <x v="12"/>
    <x v="1"/>
  </r>
  <r>
    <x v="2338"/>
    <x v="5"/>
    <x v="1"/>
    <n v="61.6"/>
    <n v="123.2"/>
    <x v="85"/>
    <d v="2025-03-31T00:00:00"/>
    <x v="1"/>
    <x v="3"/>
    <x v="1"/>
    <x v="0"/>
    <x v="3"/>
    <x v="5"/>
    <x v="12"/>
    <x v="1"/>
  </r>
  <r>
    <x v="2339"/>
    <x v="7"/>
    <x v="3"/>
    <n v="51.8"/>
    <n v="362.59999999999997"/>
    <x v="85"/>
    <d v="2025-03-28T00:00:00"/>
    <x v="1"/>
    <x v="0"/>
    <x v="0"/>
    <x v="0"/>
    <x v="3"/>
    <x v="3"/>
    <x v="12"/>
    <x v="1"/>
  </r>
  <r>
    <x v="2340"/>
    <x v="8"/>
    <x v="7"/>
    <n v="46.2"/>
    <n v="462"/>
    <x v="85"/>
    <d v="2025-03-29T00:00:00"/>
    <x v="1"/>
    <x v="1"/>
    <x v="2"/>
    <x v="0"/>
    <x v="3"/>
    <x v="1"/>
    <x v="12"/>
    <x v="1"/>
  </r>
  <r>
    <x v="2341"/>
    <x v="0"/>
    <x v="1"/>
    <n v="19.399999999999999"/>
    <n v="38.799999999999997"/>
    <x v="85"/>
    <d v="2025-03-29T00:00:00"/>
    <x v="2"/>
    <x v="1"/>
    <x v="2"/>
    <x v="0"/>
    <x v="6"/>
    <x v="1"/>
    <x v="12"/>
    <x v="2"/>
  </r>
  <r>
    <x v="2342"/>
    <x v="11"/>
    <x v="2"/>
    <n v="52.1"/>
    <n v="156.30000000000001"/>
    <x v="85"/>
    <d v="2025-03-30T00:00:00"/>
    <x v="1"/>
    <x v="3"/>
    <x v="3"/>
    <x v="0"/>
    <x v="6"/>
    <x v="2"/>
    <x v="12"/>
    <x v="1"/>
  </r>
  <r>
    <x v="2343"/>
    <x v="6"/>
    <x v="0"/>
    <n v="74.900000000000006"/>
    <n v="74.900000000000006"/>
    <x v="85"/>
    <d v="2025-03-29T00:00:00"/>
    <x v="3"/>
    <x v="0"/>
    <x v="0"/>
    <x v="0"/>
    <x v="7"/>
    <x v="1"/>
    <x v="12"/>
    <x v="3"/>
  </r>
  <r>
    <x v="2344"/>
    <x v="9"/>
    <x v="3"/>
    <n v="49.6"/>
    <n v="347.2"/>
    <x v="85"/>
    <d v="2025-03-30T00:00:00"/>
    <x v="2"/>
    <x v="4"/>
    <x v="0"/>
    <x v="0"/>
    <x v="8"/>
    <x v="2"/>
    <x v="12"/>
    <x v="2"/>
  </r>
  <r>
    <x v="2345"/>
    <x v="16"/>
    <x v="12"/>
    <n v="82.8"/>
    <n v="331.2"/>
    <x v="86"/>
    <d v="2025-03-31T00:00:00"/>
    <x v="2"/>
    <x v="4"/>
    <x v="0"/>
    <x v="0"/>
    <x v="8"/>
    <x v="2"/>
    <x v="12"/>
    <x v="2"/>
  </r>
  <r>
    <x v="2346"/>
    <x v="2"/>
    <x v="0"/>
    <n v="97.7"/>
    <n v="97.7"/>
    <x v="86"/>
    <d v="2025-03-29T00:00:00"/>
    <x v="2"/>
    <x v="1"/>
    <x v="0"/>
    <x v="0"/>
    <x v="8"/>
    <x v="3"/>
    <x v="12"/>
    <x v="2"/>
  </r>
  <r>
    <x v="2347"/>
    <x v="6"/>
    <x v="9"/>
    <n v="83.6"/>
    <n v="418"/>
    <x v="86"/>
    <d v="2025-03-29T00:00:00"/>
    <x v="2"/>
    <x v="4"/>
    <x v="0"/>
    <x v="0"/>
    <x v="8"/>
    <x v="3"/>
    <x v="12"/>
    <x v="2"/>
  </r>
  <r>
    <x v="2348"/>
    <x v="8"/>
    <x v="9"/>
    <n v="23.5"/>
    <n v="117.5"/>
    <x v="86"/>
    <d v="2025-04-01T00:00:00"/>
    <x v="3"/>
    <x v="0"/>
    <x v="0"/>
    <x v="0"/>
    <x v="8"/>
    <x v="5"/>
    <x v="12"/>
    <x v="3"/>
  </r>
  <r>
    <x v="2349"/>
    <x v="9"/>
    <x v="2"/>
    <n v="44.6"/>
    <n v="133.80000000000001"/>
    <x v="86"/>
    <d v="2025-03-31T00:00:00"/>
    <x v="2"/>
    <x v="4"/>
    <x v="1"/>
    <x v="0"/>
    <x v="26"/>
    <x v="2"/>
    <x v="12"/>
    <x v="2"/>
  </r>
  <r>
    <x v="2350"/>
    <x v="0"/>
    <x v="2"/>
    <n v="20.100000000000001"/>
    <n v="60.300000000000004"/>
    <x v="86"/>
    <d v="2025-03-30T00:00:00"/>
    <x v="2"/>
    <x v="3"/>
    <x v="4"/>
    <x v="0"/>
    <x v="11"/>
    <x v="1"/>
    <x v="12"/>
    <x v="2"/>
  </r>
  <r>
    <x v="2351"/>
    <x v="2"/>
    <x v="9"/>
    <n v="153.6"/>
    <n v="768"/>
    <x v="86"/>
    <d v="2025-03-29T00:00:00"/>
    <x v="2"/>
    <x v="1"/>
    <x v="2"/>
    <x v="0"/>
    <x v="53"/>
    <x v="3"/>
    <x v="12"/>
    <x v="2"/>
  </r>
  <r>
    <x v="2352"/>
    <x v="1"/>
    <x v="1"/>
    <n v="71.8"/>
    <n v="143.6"/>
    <x v="86"/>
    <d v="2025-04-01T00:00:00"/>
    <x v="2"/>
    <x v="1"/>
    <x v="0"/>
    <x v="0"/>
    <x v="1"/>
    <x v="5"/>
    <x v="12"/>
    <x v="2"/>
  </r>
  <r>
    <x v="2353"/>
    <x v="10"/>
    <x v="0"/>
    <n v="64.7"/>
    <n v="64.7"/>
    <x v="86"/>
    <d v="2025-03-30T00:00:00"/>
    <x v="0"/>
    <x v="0"/>
    <x v="1"/>
    <x v="0"/>
    <x v="1"/>
    <x v="1"/>
    <x v="12"/>
    <x v="0"/>
  </r>
  <r>
    <x v="2354"/>
    <x v="9"/>
    <x v="8"/>
    <n v="60.4"/>
    <n v="483.2"/>
    <x v="86"/>
    <d v="2025-03-30T00:00:00"/>
    <x v="2"/>
    <x v="3"/>
    <x v="2"/>
    <x v="0"/>
    <x v="2"/>
    <x v="1"/>
    <x v="12"/>
    <x v="2"/>
  </r>
  <r>
    <x v="2355"/>
    <x v="6"/>
    <x v="12"/>
    <n v="86"/>
    <n v="344"/>
    <x v="86"/>
    <d v="2025-03-31T00:00:00"/>
    <x v="2"/>
    <x v="2"/>
    <x v="2"/>
    <x v="0"/>
    <x v="22"/>
    <x v="2"/>
    <x v="12"/>
    <x v="2"/>
  </r>
  <r>
    <x v="2356"/>
    <x v="12"/>
    <x v="1"/>
    <n v="42.1"/>
    <n v="84.2"/>
    <x v="86"/>
    <d v="2025-03-29T00:00:00"/>
    <x v="2"/>
    <x v="4"/>
    <x v="1"/>
    <x v="0"/>
    <x v="34"/>
    <x v="3"/>
    <x v="12"/>
    <x v="2"/>
  </r>
  <r>
    <x v="2357"/>
    <x v="16"/>
    <x v="11"/>
    <n v="51.1"/>
    <n v="459.90000000000003"/>
    <x v="86"/>
    <d v="2025-03-29T00:00:00"/>
    <x v="1"/>
    <x v="2"/>
    <x v="1"/>
    <x v="0"/>
    <x v="3"/>
    <x v="3"/>
    <x v="12"/>
    <x v="1"/>
  </r>
  <r>
    <x v="2358"/>
    <x v="9"/>
    <x v="12"/>
    <n v="73.8"/>
    <n v="295.2"/>
    <x v="86"/>
    <d v="2025-03-29T00:00:00"/>
    <x v="1"/>
    <x v="4"/>
    <x v="0"/>
    <x v="0"/>
    <x v="3"/>
    <x v="3"/>
    <x v="12"/>
    <x v="1"/>
  </r>
  <r>
    <x v="2359"/>
    <x v="8"/>
    <x v="9"/>
    <n v="27"/>
    <n v="135"/>
    <x v="86"/>
    <d v="2025-03-31T00:00:00"/>
    <x v="2"/>
    <x v="2"/>
    <x v="2"/>
    <x v="0"/>
    <x v="3"/>
    <x v="2"/>
    <x v="12"/>
    <x v="2"/>
  </r>
  <r>
    <x v="2360"/>
    <x v="8"/>
    <x v="13"/>
    <n v="60.1"/>
    <n v="360.6"/>
    <x v="86"/>
    <d v="2025-03-29T00:00:00"/>
    <x v="1"/>
    <x v="3"/>
    <x v="0"/>
    <x v="0"/>
    <x v="3"/>
    <x v="3"/>
    <x v="12"/>
    <x v="1"/>
  </r>
  <r>
    <x v="2361"/>
    <x v="2"/>
    <x v="3"/>
    <n v="94.1"/>
    <n v="658.69999999999993"/>
    <x v="86"/>
    <d v="2025-03-30T00:00:00"/>
    <x v="2"/>
    <x v="4"/>
    <x v="1"/>
    <x v="0"/>
    <x v="3"/>
    <x v="1"/>
    <x v="12"/>
    <x v="2"/>
  </r>
  <r>
    <x v="2362"/>
    <x v="2"/>
    <x v="1"/>
    <n v="124.1"/>
    <n v="248.2"/>
    <x v="86"/>
    <d v="2025-03-28T00:00:00"/>
    <x v="2"/>
    <x v="2"/>
    <x v="3"/>
    <x v="0"/>
    <x v="43"/>
    <x v="7"/>
    <x v="12"/>
    <x v="2"/>
  </r>
  <r>
    <x v="2363"/>
    <x v="8"/>
    <x v="12"/>
    <n v="16.899999999999999"/>
    <n v="67.599999999999994"/>
    <x v="86"/>
    <d v="2025-03-31T00:00:00"/>
    <x v="1"/>
    <x v="3"/>
    <x v="0"/>
    <x v="0"/>
    <x v="6"/>
    <x v="2"/>
    <x v="12"/>
    <x v="1"/>
  </r>
  <r>
    <x v="2364"/>
    <x v="1"/>
    <x v="0"/>
    <n v="36.9"/>
    <n v="36.9"/>
    <x v="86"/>
    <d v="2025-03-29T00:00:00"/>
    <x v="1"/>
    <x v="0"/>
    <x v="0"/>
    <x v="0"/>
    <x v="6"/>
    <x v="3"/>
    <x v="12"/>
    <x v="1"/>
  </r>
  <r>
    <x v="2365"/>
    <x v="9"/>
    <x v="1"/>
    <n v="22.6"/>
    <n v="45.2"/>
    <x v="86"/>
    <d v="2025-04-10T00:00:00"/>
    <x v="2"/>
    <x v="2"/>
    <x v="1"/>
    <x v="0"/>
    <x v="8"/>
    <x v="10"/>
    <x v="12"/>
    <x v="2"/>
  </r>
  <r>
    <x v="2366"/>
    <x v="7"/>
    <x v="12"/>
    <n v="35"/>
    <n v="140"/>
    <x v="86"/>
    <d v="2025-04-02T00:00:00"/>
    <x v="1"/>
    <x v="3"/>
    <x v="1"/>
    <x v="0"/>
    <x v="8"/>
    <x v="0"/>
    <x v="12"/>
    <x v="1"/>
  </r>
  <r>
    <x v="2367"/>
    <x v="9"/>
    <x v="13"/>
    <n v="63.6"/>
    <n v="381.6"/>
    <x v="86"/>
    <d v="2025-04-04T00:00:00"/>
    <x v="0"/>
    <x v="1"/>
    <x v="2"/>
    <x v="0"/>
    <x v="8"/>
    <x v="6"/>
    <x v="12"/>
    <x v="0"/>
  </r>
  <r>
    <x v="2368"/>
    <x v="15"/>
    <x v="12"/>
    <n v="78.599999999999994"/>
    <n v="314.39999999999998"/>
    <x v="86"/>
    <d v="2025-03-29T00:00:00"/>
    <x v="1"/>
    <x v="4"/>
    <x v="1"/>
    <x v="0"/>
    <x v="8"/>
    <x v="3"/>
    <x v="12"/>
    <x v="1"/>
  </r>
  <r>
    <x v="2369"/>
    <x v="3"/>
    <x v="1"/>
    <n v="38.5"/>
    <n v="77"/>
    <x v="86"/>
    <d v="2025-03-29T00:00:00"/>
    <x v="1"/>
    <x v="0"/>
    <x v="2"/>
    <x v="0"/>
    <x v="8"/>
    <x v="3"/>
    <x v="12"/>
    <x v="1"/>
  </r>
  <r>
    <x v="2370"/>
    <x v="8"/>
    <x v="5"/>
    <n v="71.5"/>
    <n v="786.5"/>
    <x v="86"/>
    <d v="2025-03-29T00:00:00"/>
    <x v="2"/>
    <x v="1"/>
    <x v="4"/>
    <x v="0"/>
    <x v="8"/>
    <x v="3"/>
    <x v="12"/>
    <x v="2"/>
  </r>
  <r>
    <x v="2371"/>
    <x v="6"/>
    <x v="12"/>
    <n v="121.4"/>
    <n v="485.6"/>
    <x v="86"/>
    <d v="2025-04-01T00:00:00"/>
    <x v="1"/>
    <x v="1"/>
    <x v="2"/>
    <x v="0"/>
    <x v="17"/>
    <x v="5"/>
    <x v="12"/>
    <x v="1"/>
  </r>
  <r>
    <x v="2372"/>
    <x v="11"/>
    <x v="0"/>
    <n v="40.200000000000003"/>
    <n v="40.200000000000003"/>
    <x v="86"/>
    <d v="2025-03-31T00:00:00"/>
    <x v="2"/>
    <x v="0"/>
    <x v="2"/>
    <x v="0"/>
    <x v="11"/>
    <x v="2"/>
    <x v="12"/>
    <x v="2"/>
  </r>
  <r>
    <x v="2373"/>
    <x v="5"/>
    <x v="9"/>
    <n v="31.9"/>
    <n v="159.5"/>
    <x v="86"/>
    <d v="2025-03-30T00:00:00"/>
    <x v="2"/>
    <x v="2"/>
    <x v="2"/>
    <x v="0"/>
    <x v="28"/>
    <x v="1"/>
    <x v="12"/>
    <x v="2"/>
  </r>
  <r>
    <x v="2374"/>
    <x v="14"/>
    <x v="9"/>
    <n v="15.8"/>
    <n v="79"/>
    <x v="87"/>
    <d v="2025-03-30T00:00:00"/>
    <x v="1"/>
    <x v="3"/>
    <x v="2"/>
    <x v="0"/>
    <x v="21"/>
    <x v="3"/>
    <x v="12"/>
    <x v="1"/>
  </r>
  <r>
    <x v="2375"/>
    <x v="10"/>
    <x v="1"/>
    <n v="25.1"/>
    <n v="50.2"/>
    <x v="87"/>
    <d v="2025-03-31T00:00:00"/>
    <x v="0"/>
    <x v="1"/>
    <x v="0"/>
    <x v="0"/>
    <x v="21"/>
    <x v="1"/>
    <x v="12"/>
    <x v="0"/>
  </r>
  <r>
    <x v="2376"/>
    <x v="1"/>
    <x v="44"/>
    <n v="38.1"/>
    <n v="876.30000000000007"/>
    <x v="87"/>
    <d v="2025-03-30T00:00:00"/>
    <x v="2"/>
    <x v="4"/>
    <x v="0"/>
    <x v="0"/>
    <x v="1"/>
    <x v="3"/>
    <x v="12"/>
    <x v="2"/>
  </r>
  <r>
    <x v="2377"/>
    <x v="3"/>
    <x v="1"/>
    <n v="42.2"/>
    <n v="84.4"/>
    <x v="87"/>
    <d v="2025-03-31T00:00:00"/>
    <x v="2"/>
    <x v="0"/>
    <x v="2"/>
    <x v="0"/>
    <x v="1"/>
    <x v="1"/>
    <x v="12"/>
    <x v="2"/>
  </r>
  <r>
    <x v="2378"/>
    <x v="0"/>
    <x v="7"/>
    <n v="12.3"/>
    <n v="123"/>
    <x v="87"/>
    <d v="2025-03-30T00:00:00"/>
    <x v="2"/>
    <x v="4"/>
    <x v="0"/>
    <x v="0"/>
    <x v="2"/>
    <x v="3"/>
    <x v="12"/>
    <x v="2"/>
  </r>
  <r>
    <x v="2379"/>
    <x v="7"/>
    <x v="0"/>
    <n v="30.2"/>
    <n v="30.2"/>
    <x v="87"/>
    <d v="2025-03-31T00:00:00"/>
    <x v="2"/>
    <x v="1"/>
    <x v="2"/>
    <x v="0"/>
    <x v="34"/>
    <x v="1"/>
    <x v="12"/>
    <x v="2"/>
  </r>
  <r>
    <x v="2380"/>
    <x v="5"/>
    <x v="2"/>
    <n v="25.3"/>
    <n v="75.900000000000006"/>
    <x v="87"/>
    <d v="2025-04-01T00:00:00"/>
    <x v="2"/>
    <x v="2"/>
    <x v="0"/>
    <x v="0"/>
    <x v="3"/>
    <x v="2"/>
    <x v="12"/>
    <x v="2"/>
  </r>
  <r>
    <x v="2381"/>
    <x v="8"/>
    <x v="9"/>
    <n v="29.7"/>
    <n v="148.5"/>
    <x v="87"/>
    <d v="2025-03-31T00:00:00"/>
    <x v="1"/>
    <x v="3"/>
    <x v="0"/>
    <x v="0"/>
    <x v="3"/>
    <x v="1"/>
    <x v="12"/>
    <x v="1"/>
  </r>
  <r>
    <x v="2382"/>
    <x v="9"/>
    <x v="8"/>
    <n v="32.9"/>
    <n v="263.2"/>
    <x v="87"/>
    <d v="2025-03-30T00:00:00"/>
    <x v="0"/>
    <x v="3"/>
    <x v="2"/>
    <x v="0"/>
    <x v="3"/>
    <x v="3"/>
    <x v="12"/>
    <x v="0"/>
  </r>
  <r>
    <x v="2383"/>
    <x v="10"/>
    <x v="1"/>
    <n v="43.6"/>
    <n v="87.2"/>
    <x v="87"/>
    <d v="2025-03-30T00:00:00"/>
    <x v="1"/>
    <x v="1"/>
    <x v="2"/>
    <x v="0"/>
    <x v="3"/>
    <x v="3"/>
    <x v="12"/>
    <x v="1"/>
  </r>
  <r>
    <x v="2384"/>
    <x v="15"/>
    <x v="12"/>
    <n v="78.400000000000006"/>
    <n v="313.60000000000002"/>
    <x v="87"/>
    <d v="2025-03-30T00:00:00"/>
    <x v="1"/>
    <x v="2"/>
    <x v="0"/>
    <x v="0"/>
    <x v="3"/>
    <x v="3"/>
    <x v="12"/>
    <x v="1"/>
  </r>
  <r>
    <x v="2385"/>
    <x v="6"/>
    <x v="1"/>
    <n v="56.5"/>
    <n v="113"/>
    <x v="87"/>
    <d v="2025-04-02T00:00:00"/>
    <x v="1"/>
    <x v="1"/>
    <x v="1"/>
    <x v="0"/>
    <x v="3"/>
    <x v="5"/>
    <x v="12"/>
    <x v="1"/>
  </r>
  <r>
    <x v="2386"/>
    <x v="16"/>
    <x v="0"/>
    <n v="36.700000000000003"/>
    <n v="36.700000000000003"/>
    <x v="87"/>
    <d v="2025-03-30T00:00:00"/>
    <x v="2"/>
    <x v="0"/>
    <x v="2"/>
    <x v="0"/>
    <x v="3"/>
    <x v="3"/>
    <x v="12"/>
    <x v="2"/>
  </r>
  <r>
    <x v="2387"/>
    <x v="2"/>
    <x v="12"/>
    <n v="103.6"/>
    <n v="414.4"/>
    <x v="87"/>
    <d v="2025-04-09T00:00:00"/>
    <x v="1"/>
    <x v="4"/>
    <x v="2"/>
    <x v="0"/>
    <x v="3"/>
    <x v="11"/>
    <x v="12"/>
    <x v="1"/>
  </r>
  <r>
    <x v="2388"/>
    <x v="8"/>
    <x v="13"/>
    <n v="16.2"/>
    <n v="97.199999999999989"/>
    <x v="87"/>
    <d v="2025-04-02T00:00:00"/>
    <x v="1"/>
    <x v="1"/>
    <x v="2"/>
    <x v="0"/>
    <x v="6"/>
    <x v="5"/>
    <x v="12"/>
    <x v="1"/>
  </r>
  <r>
    <x v="2389"/>
    <x v="8"/>
    <x v="1"/>
    <n v="20.2"/>
    <n v="40.4"/>
    <x v="87"/>
    <d v="2025-03-30T00:00:00"/>
    <x v="2"/>
    <x v="0"/>
    <x v="0"/>
    <x v="0"/>
    <x v="6"/>
    <x v="3"/>
    <x v="12"/>
    <x v="2"/>
  </r>
  <r>
    <x v="2390"/>
    <x v="11"/>
    <x v="1"/>
    <n v="26.9"/>
    <n v="53.8"/>
    <x v="87"/>
    <d v="2025-03-31T00:00:00"/>
    <x v="2"/>
    <x v="2"/>
    <x v="0"/>
    <x v="0"/>
    <x v="6"/>
    <x v="1"/>
    <x v="12"/>
    <x v="2"/>
  </r>
  <r>
    <x v="2391"/>
    <x v="1"/>
    <x v="1"/>
    <n v="82.4"/>
    <n v="164.8"/>
    <x v="87"/>
    <d v="2025-04-01T00:00:00"/>
    <x v="0"/>
    <x v="0"/>
    <x v="0"/>
    <x v="0"/>
    <x v="7"/>
    <x v="2"/>
    <x v="12"/>
    <x v="0"/>
  </r>
  <r>
    <x v="2392"/>
    <x v="2"/>
    <x v="1"/>
    <n v="117.8"/>
    <n v="235.6"/>
    <x v="87"/>
    <d v="2025-03-31T00:00:00"/>
    <x v="1"/>
    <x v="1"/>
    <x v="2"/>
    <x v="0"/>
    <x v="8"/>
    <x v="1"/>
    <x v="12"/>
    <x v="1"/>
  </r>
  <r>
    <x v="2393"/>
    <x v="11"/>
    <x v="12"/>
    <n v="36.700000000000003"/>
    <n v="146.80000000000001"/>
    <x v="87"/>
    <d v="2025-03-30T00:00:00"/>
    <x v="1"/>
    <x v="1"/>
    <x v="0"/>
    <x v="0"/>
    <x v="8"/>
    <x v="3"/>
    <x v="12"/>
    <x v="1"/>
  </r>
  <r>
    <x v="2394"/>
    <x v="17"/>
    <x v="2"/>
    <n v="46.8"/>
    <n v="140.39999999999998"/>
    <x v="87"/>
    <d v="2025-03-30T00:00:00"/>
    <x v="1"/>
    <x v="4"/>
    <x v="2"/>
    <x v="0"/>
    <x v="10"/>
    <x v="3"/>
    <x v="12"/>
    <x v="1"/>
  </r>
  <r>
    <x v="2395"/>
    <x v="3"/>
    <x v="0"/>
    <n v="61.4"/>
    <n v="61.4"/>
    <x v="87"/>
    <d v="2025-03-30T00:00:00"/>
    <x v="1"/>
    <x v="1"/>
    <x v="0"/>
    <x v="0"/>
    <x v="10"/>
    <x v="3"/>
    <x v="12"/>
    <x v="1"/>
  </r>
  <r>
    <x v="2396"/>
    <x v="15"/>
    <x v="1"/>
    <n v="22.9"/>
    <n v="45.8"/>
    <x v="87"/>
    <d v="2025-03-30T00:00:00"/>
    <x v="1"/>
    <x v="0"/>
    <x v="0"/>
    <x v="0"/>
    <x v="11"/>
    <x v="3"/>
    <x v="12"/>
    <x v="1"/>
  </r>
  <r>
    <x v="2397"/>
    <x v="10"/>
    <x v="1"/>
    <n v="22.1"/>
    <n v="44.2"/>
    <x v="87"/>
    <d v="2025-03-30T00:00:00"/>
    <x v="2"/>
    <x v="4"/>
    <x v="0"/>
    <x v="0"/>
    <x v="11"/>
    <x v="3"/>
    <x v="12"/>
    <x v="2"/>
  </r>
  <r>
    <x v="2398"/>
    <x v="12"/>
    <x v="1"/>
    <n v="31"/>
    <n v="62"/>
    <x v="87"/>
    <d v="2025-03-31T00:00:00"/>
    <x v="2"/>
    <x v="2"/>
    <x v="0"/>
    <x v="0"/>
    <x v="18"/>
    <x v="1"/>
    <x v="12"/>
    <x v="2"/>
  </r>
  <r>
    <x v="2399"/>
    <x v="18"/>
    <x v="1"/>
    <n v="84.2"/>
    <n v="168.4"/>
    <x v="87"/>
    <d v="2025-03-31T00:00:00"/>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AFD7B6-D61B-4C75-BD37-CD3EB4DB53C4}" name="PivotTable2"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3:C27" firstHeaderRow="0" firstDataRow="1" firstDataCol="1"/>
  <pivotFields count="17">
    <pivotField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pivotField showAll="0">
      <items count="12">
        <item x="0"/>
        <item x="1"/>
        <item x="2"/>
        <item x="4"/>
        <item x="3"/>
        <item x="6"/>
        <item x="7"/>
        <item x="8"/>
        <item x="9"/>
        <item x="10"/>
        <item x="5"/>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Amount" fld="4" baseField="0" baseItem="0" numFmtId="171"/>
    <dataField name="Sum of Quantity" fld="2" baseField="0" baseItem="0"/>
  </dataFields>
  <formats count="2">
    <format dxfId="0">
      <pivotArea outline="0" collapsedLevelsAreSubtotals="1" fieldPosition="0">
        <references count="1">
          <reference field="4294967294" count="1" selected="0">
            <x v="0"/>
          </reference>
        </references>
      </pivotArea>
    </format>
    <format dxfId="1">
      <pivotArea outline="0" fieldPosition="0">
        <references count="1">
          <reference field="4294967294" count="1">
            <x v="0"/>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66A3BA-C008-4BC6-9C3D-4BCA3D6C350B}" name="PivotTable1"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E4" firstHeaderRow="0" firstDataRow="1" firstDataCol="0"/>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dataField="1" showAll="0"/>
    <pivotField showAll="0"/>
    <pivotField showAll="0"/>
    <pivotField dataField="1" showAll="0"/>
    <pivotField showAll="0"/>
    <pivotField showAll="0"/>
    <pivotField showAll="0">
      <items count="12">
        <item x="0"/>
        <item x="1"/>
        <item x="2"/>
        <item x="4"/>
        <item x="3"/>
        <item x="6"/>
        <item x="7"/>
        <item x="8"/>
        <item x="9"/>
        <item x="10"/>
        <item x="5"/>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Sum of Amount" fld="4" baseField="0" baseItem="0"/>
    <dataField name="Average of Rating C" fld="9" subtotal="average" baseField="0" baseItem="0" numFmtId="2"/>
    <dataField name="Average of Days to Deliver" fld="12" subtotal="average" baseField="0" baseItem="0" numFmtId="167"/>
    <dataField name="Count of TX ID" fld="0" subtotal="count" baseField="0" baseItem="0"/>
    <dataField name="Sum of Quantity" fld="2" baseField="0" baseItem="0"/>
  </dataFields>
  <formats count="2">
    <format dxfId="2">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FEC414-A91C-46AF-99CD-9A58C1C8AD1B}" name="PivotTable3"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F10" firstHeaderRow="1" firstDataRow="2" firstDataCol="1"/>
  <pivotFields count="17">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12">
        <item x="0"/>
        <item x="1"/>
        <item x="2"/>
        <item x="4"/>
        <item x="3"/>
        <item x="6"/>
        <item x="7"/>
        <item x="8"/>
        <item x="9"/>
        <item x="10"/>
        <item x="5"/>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914A64-C8F3-40DD-B8D9-21B6F030CDF6}" name="PivotTable14"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Q27:W32" firstHeaderRow="1" firstDataRow="2" firstDataCol="1"/>
  <pivotFields count="17">
    <pivotField dataField="1" showAll="0">
      <items count="2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t="default"/>
      </items>
    </pivotField>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axis="axisRow"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pivotField showAll="0" defaultSubtotal="0">
      <items count="11">
        <item x="0"/>
        <item x="1"/>
        <item x="2"/>
        <item x="4"/>
        <item x="3"/>
        <item x="6"/>
        <item x="7"/>
        <item x="8"/>
        <item x="9"/>
        <item x="10"/>
        <item n="More than 10" x="5"/>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6"/>
    <field x="5"/>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5">
    <chartFormat chart="12" format="25" series="1">
      <pivotArea type="data" outline="0" fieldPosition="0">
        <references count="2">
          <reference field="4294967294" count="1" selected="0">
            <x v="0"/>
          </reference>
          <reference field="9" count="1" selected="0">
            <x v="0"/>
          </reference>
        </references>
      </pivotArea>
    </chartFormat>
    <chartFormat chart="12" format="26" series="1">
      <pivotArea type="data" outline="0" fieldPosition="0">
        <references count="2">
          <reference field="4294967294" count="1" selected="0">
            <x v="0"/>
          </reference>
          <reference field="9" count="1" selected="0">
            <x v="1"/>
          </reference>
        </references>
      </pivotArea>
    </chartFormat>
    <chartFormat chart="12" format="27" series="1">
      <pivotArea type="data" outline="0" fieldPosition="0">
        <references count="2">
          <reference field="4294967294" count="1" selected="0">
            <x v="0"/>
          </reference>
          <reference field="9" count="1" selected="0">
            <x v="2"/>
          </reference>
        </references>
      </pivotArea>
    </chartFormat>
    <chartFormat chart="12" format="28" series="1">
      <pivotArea type="data" outline="0" fieldPosition="0">
        <references count="2">
          <reference field="4294967294" count="1" selected="0">
            <x v="0"/>
          </reference>
          <reference field="9" count="1" selected="0">
            <x v="3"/>
          </reference>
        </references>
      </pivotArea>
    </chartFormat>
    <chartFormat chart="12" format="29"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1D3E02-F2F2-44A8-A2E1-70BB8D8A9A13}" name="PivotTable13"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N26:O42" firstHeaderRow="1" firstDataRow="1" firstDataCol="1"/>
  <pivotFields count="17">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pivotField showAll="0" defaultSubtotal="0">
      <items count="11">
        <item x="0"/>
        <item x="1"/>
        <item x="2"/>
        <item x="4"/>
        <item x="3"/>
        <item x="6"/>
        <item x="7"/>
        <item x="8"/>
        <item x="9"/>
        <item x="10"/>
        <item n="More than 10" x="5"/>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468A50-6A5C-4AC6-B425-0302FE0D6C96}" name="PivotTable10" cacheId="31"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7">
  <location ref="K70:M130" firstHeaderRow="1" firstDataRow="1" firstDataCol="2"/>
  <pivotFields count="17">
    <pivotField compact="0" outline="0" showAll="0">
      <extLst>
        <ext xmlns:x14="http://schemas.microsoft.com/office/spreadsheetml/2009/9/main" uri="{2946ED86-A175-432a-8AC1-64E0C546D7DE}">
          <x14:pivotField fillDownLabels="1"/>
        </ext>
      </extLst>
    </pivotField>
    <pivotField compact="0" outline="0" showAll="0">
      <items count="21">
        <item x="14"/>
        <item x="10"/>
        <item x="12"/>
        <item x="15"/>
        <item x="4"/>
        <item x="7"/>
        <item x="6"/>
        <item x="19"/>
        <item x="18"/>
        <item x="11"/>
        <item x="17"/>
        <item x="5"/>
        <item x="0"/>
        <item x="2"/>
        <item x="9"/>
        <item x="16"/>
        <item x="1"/>
        <item x="13"/>
        <item x="8"/>
        <item x="3"/>
        <item t="default"/>
      </items>
      <extLst>
        <ext xmlns:x14="http://schemas.microsoft.com/office/spreadsheetml/2009/9/main" uri="{2946ED86-A175-432a-8AC1-64E0C546D7DE}">
          <x14:pivotField fillDownLabels="1"/>
        </ext>
      </extLst>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numFmtId="15"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items count="5">
        <item x="0"/>
        <item x="2"/>
        <item x="1"/>
        <item x="3"/>
        <item t="default"/>
      </items>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items count="11">
        <item x="0"/>
        <item x="1"/>
        <item x="2"/>
        <item x="4"/>
        <item x="3"/>
        <item x="6"/>
        <item x="7"/>
        <item x="8"/>
        <item x="9"/>
        <item x="10"/>
        <item n="More than 10" x="5"/>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A6F065-B511-4D41-B669-A3CE53B6DF1C}" name="PivotTable9" cacheId="31" applyNumberFormats="0" applyBorderFormats="0" applyFontFormats="0" applyPatternFormats="0" applyAlignmentFormats="0" applyWidthHeightFormats="1" dataCaption="Values" updatedVersion="7" minRefreshableVersion="3" useAutoFormatting="1" itemPrintTitles="1" createdVersion="7" indent="0" compact="0" compactData="0" multipleFieldFilters="0" chartFormat="7">
  <location ref="K50:M67" firstHeaderRow="1" firstDataRow="1" firstDataCol="0"/>
  <pivotFields count="17">
    <pivotField compact="0" outline="0" showAll="0">
      <extLst>
        <ext xmlns:x14="http://schemas.microsoft.com/office/spreadsheetml/2009/9/main" uri="{2946ED86-A175-432a-8AC1-64E0C546D7DE}">
          <x14:pivotField fillDownLabels="1"/>
        </ext>
      </extLst>
    </pivotField>
    <pivotField compact="0" outline="0" showAll="0">
      <items count="21">
        <item x="14"/>
        <item x="10"/>
        <item x="12"/>
        <item x="15"/>
        <item x="4"/>
        <item x="7"/>
        <item x="6"/>
        <item x="19"/>
        <item x="18"/>
        <item x="11"/>
        <item x="17"/>
        <item x="5"/>
        <item x="0"/>
        <item x="2"/>
        <item x="9"/>
        <item x="16"/>
        <item x="1"/>
        <item x="13"/>
        <item x="8"/>
        <item x="3"/>
        <item t="default"/>
      </items>
      <extLst>
        <ext xmlns:x14="http://schemas.microsoft.com/office/spreadsheetml/2009/9/main" uri="{2946ED86-A175-432a-8AC1-64E0C546D7DE}">
          <x14:pivotField fillDownLabels="1"/>
        </ext>
      </extLst>
    </pivotField>
    <pivotField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5"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numFmtId="15" outline="0" showAll="0">
      <extLst>
        <ext xmlns:x14="http://schemas.microsoft.com/office/spreadsheetml/2009/9/main" uri="{2946ED86-A175-432a-8AC1-64E0C546D7DE}">
          <x14:pivotField fillDownLabels="1"/>
        </ext>
      </extLst>
    </pivotField>
    <pivotField compact="0" outline="0" showAll="0">
      <items count="5">
        <item x="0"/>
        <item x="2"/>
        <item x="1"/>
        <item x="3"/>
        <item t="default"/>
      </items>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defaultSubtotal="0">
      <items count="11">
        <item x="0"/>
        <item x="1"/>
        <item x="2"/>
        <item x="4"/>
        <item x="3"/>
        <item x="6"/>
        <item x="7"/>
        <item x="8"/>
        <item x="9"/>
        <item x="10"/>
        <item n="More than 10" x="5"/>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3E01BF-CF12-4DB2-9079-AAFCFFDFABCD}" name="PivotTable8"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K29:L34" firstHeaderRow="1" firstDataRow="1" firstDataCol="1"/>
  <pivotFields count="17">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axis="axisRow"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pivotField showAll="0" defaultSubtotal="0">
      <items count="11">
        <item x="0"/>
        <item x="1"/>
        <item x="2"/>
        <item x="4"/>
        <item x="3"/>
        <item x="6"/>
        <item x="7"/>
        <item x="8"/>
        <item x="9"/>
        <item x="10"/>
        <item n="More than 10" x="5"/>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t="grand">
      <x/>
    </i>
  </rowItems>
  <colItems count="1">
    <i/>
  </colItems>
  <dataFields count="1">
    <dataField name="Sum of Quantity" fld="2" baseField="0" baseItem="0"/>
  </dataFields>
  <chartFormats count="13">
    <chartFormat chart="4" format="0" series="1">
      <pivotArea type="data" outline="0" fieldPosition="0">
        <references count="2">
          <reference field="4294967294" count="1" selected="0">
            <x v="0"/>
          </reference>
          <reference field="7" count="1" selected="0">
            <x v="0"/>
          </reference>
        </references>
      </pivotArea>
    </chartFormat>
    <chartFormat chart="4" format="1" series="1">
      <pivotArea type="data" outline="0" fieldPosition="0">
        <references count="2">
          <reference field="4294967294" count="1" selected="0">
            <x v="0"/>
          </reference>
          <reference field="7" count="1" selected="0">
            <x v="1"/>
          </reference>
        </references>
      </pivotArea>
    </chartFormat>
    <chartFormat chart="4" format="2" series="1">
      <pivotArea type="data" outline="0" fieldPosition="0">
        <references count="2">
          <reference field="4294967294" count="1" selected="0">
            <x v="0"/>
          </reference>
          <reference field="7" count="1" selected="0">
            <x v="2"/>
          </reference>
        </references>
      </pivotArea>
    </chartFormat>
    <chartFormat chart="4" format="3" series="1">
      <pivotArea type="data" outline="0" fieldPosition="0">
        <references count="2">
          <reference field="4294967294" count="1" selected="0">
            <x v="0"/>
          </reference>
          <reference field="7" count="1" selected="0">
            <x v="3"/>
          </reference>
        </references>
      </pivotArea>
    </chartFormat>
    <chartFormat chart="6" format="8" series="1">
      <pivotArea type="data" outline="0" fieldPosition="0">
        <references count="2">
          <reference field="4294967294" count="1" selected="0">
            <x v="0"/>
          </reference>
          <reference field="7" count="1" selected="0">
            <x v="0"/>
          </reference>
        </references>
      </pivotArea>
    </chartFormat>
    <chartFormat chart="6" format="9" series="1">
      <pivotArea type="data" outline="0" fieldPosition="0">
        <references count="2">
          <reference field="4294967294" count="1" selected="0">
            <x v="0"/>
          </reference>
          <reference field="7" count="1" selected="0">
            <x v="1"/>
          </reference>
        </references>
      </pivotArea>
    </chartFormat>
    <chartFormat chart="6" format="10" series="1">
      <pivotArea type="data" outline="0" fieldPosition="0">
        <references count="2">
          <reference field="4294967294" count="1" selected="0">
            <x v="0"/>
          </reference>
          <reference field="7" count="1" selected="0">
            <x v="2"/>
          </reference>
        </references>
      </pivotArea>
    </chartFormat>
    <chartFormat chart="6" format="11" series="1">
      <pivotArea type="data" outline="0" fieldPosition="0">
        <references count="2">
          <reference field="4294967294" count="1" selected="0">
            <x v="0"/>
          </reference>
          <reference field="7" count="1" selected="0">
            <x v="3"/>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0"/>
          </reference>
        </references>
      </pivotArea>
    </chartFormat>
    <chartFormat chart="9" format="8">
      <pivotArea type="data" outline="0" fieldPosition="0">
        <references count="2">
          <reference field="4294967294" count="1" selected="0">
            <x v="0"/>
          </reference>
          <reference field="7" count="1" selected="0">
            <x v="1"/>
          </reference>
        </references>
      </pivotArea>
    </chartFormat>
    <chartFormat chart="9" format="9">
      <pivotArea type="data" outline="0" fieldPosition="0">
        <references count="2">
          <reference field="4294967294" count="1" selected="0">
            <x v="0"/>
          </reference>
          <reference field="7" count="1" selected="0">
            <x v="2"/>
          </reference>
        </references>
      </pivotArea>
    </chartFormat>
    <chartFormat chart="9"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732D64-19C1-4DAC-B064-20913EBCA36D}" name="PivotTable7"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8:F50" firstHeaderRow="1" firstDataRow="2" firstDataCol="1"/>
  <pivotFields count="17">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axis="axisCol"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pivotField showAll="0" defaultSubtotal="0">
      <items count="11">
        <item x="0"/>
        <item x="1"/>
        <item x="2"/>
        <item x="4"/>
        <item x="3"/>
        <item x="6"/>
        <item x="7"/>
        <item x="8"/>
        <item x="9"/>
        <item x="10"/>
        <item n="More than 10" x="5"/>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7"/>
  </colFields>
  <colItems count="5">
    <i>
      <x/>
    </i>
    <i>
      <x v="1"/>
    </i>
    <i>
      <x v="2"/>
    </i>
    <i>
      <x v="3"/>
    </i>
    <i t="grand">
      <x/>
    </i>
  </colItems>
  <dataFields count="1">
    <dataField name="Sum of Quantity" fld="2" baseField="0" baseItem="0"/>
  </dataFields>
  <chartFormats count="4">
    <chartFormat chart="6" format="8" series="1">
      <pivotArea type="data" outline="0" fieldPosition="0">
        <references count="2">
          <reference field="4294967294" count="1" selected="0">
            <x v="0"/>
          </reference>
          <reference field="7" count="1" selected="0">
            <x v="0"/>
          </reference>
        </references>
      </pivotArea>
    </chartFormat>
    <chartFormat chart="6" format="9" series="1">
      <pivotArea type="data" outline="0" fieldPosition="0">
        <references count="2">
          <reference field="4294967294" count="1" selected="0">
            <x v="0"/>
          </reference>
          <reference field="7" count="1" selected="0">
            <x v="1"/>
          </reference>
        </references>
      </pivotArea>
    </chartFormat>
    <chartFormat chart="6" format="10" series="1">
      <pivotArea type="data" outline="0" fieldPosition="0">
        <references count="2">
          <reference field="4294967294" count="1" selected="0">
            <x v="0"/>
          </reference>
          <reference field="7" count="1" selected="0">
            <x v="2"/>
          </reference>
        </references>
      </pivotArea>
    </chartFormat>
    <chartFormat chart="6" format="11" series="1">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067A67-6A41-4F90-BEC8-26CDF1217858}" name="PivotTable6"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15" firstHeaderRow="1" firstDataRow="1" firstDataCol="1"/>
  <pivotFields count="17">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showAll="0"/>
    <pivotField axis="axisRow" showAll="0" defaultSubtotal="0">
      <items count="11">
        <item x="0"/>
        <item x="1"/>
        <item x="2"/>
        <item x="4"/>
        <item x="3"/>
        <item x="6"/>
        <item x="7"/>
        <item x="8"/>
        <item x="9"/>
        <item x="10"/>
        <item n="More than 10" x="5"/>
      </items>
    </pivotField>
    <pivotField showAll="0">
      <items count="15">
        <item x="0"/>
        <item x="1"/>
        <item x="2"/>
        <item x="3"/>
        <item x="4"/>
        <item x="5"/>
        <item x="6"/>
        <item x="7"/>
        <item x="8"/>
        <item x="9"/>
        <item x="10"/>
        <item x="11"/>
        <item x="12"/>
        <item x="13"/>
        <item t="default"/>
      </items>
    </pivotField>
  </pivotFields>
  <rowFields count="1">
    <field x="15"/>
  </rowFields>
  <rowItems count="12">
    <i>
      <x/>
    </i>
    <i>
      <x v="1"/>
    </i>
    <i>
      <x v="2"/>
    </i>
    <i>
      <x v="3"/>
    </i>
    <i>
      <x v="4"/>
    </i>
    <i>
      <x v="5"/>
    </i>
    <i>
      <x v="6"/>
    </i>
    <i>
      <x v="7"/>
    </i>
    <i>
      <x v="8"/>
    </i>
    <i>
      <x v="9"/>
    </i>
    <i>
      <x v="10"/>
    </i>
    <i t="grand">
      <x/>
    </i>
  </rowItems>
  <colItems count="1">
    <i/>
  </colItems>
  <dataFields count="1">
    <dataField name="Count of TX 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D2E78842-99D9-46DF-B63A-58E31EF9F7C9}" sourceName="Order Mode">
  <pivotTables>
    <pivotTable tabId="9" name="PivotTable14"/>
    <pivotTable tabId="5" name="PivotTable1"/>
    <pivotTable tabId="5" name="PivotTable2"/>
    <pivotTable tabId="6" name="PivotTable3"/>
    <pivotTable tabId="9" name="PivotTable10"/>
    <pivotTable tabId="9" name="PivotTable13"/>
    <pivotTable tabId="9" name="PivotTable6"/>
    <pivotTable tabId="9" name="PivotTable7"/>
    <pivotTable tabId="9" name="PivotTable8"/>
    <pivotTable tabId="9" name="PivotTable9"/>
  </pivotTables>
  <data>
    <tabular pivotCacheId="816763712">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BC063C6A-E767-4D84-81A9-50EEBCC96F09}" sourceName="Customer Gender">
  <pivotTables>
    <pivotTable tabId="9" name="PivotTable14"/>
    <pivotTable tabId="5" name="PivotTable1"/>
    <pivotTable tabId="5" name="PivotTable2"/>
    <pivotTable tabId="6" name="PivotTable3"/>
    <pivotTable tabId="9" name="PivotTable10"/>
    <pivotTable tabId="9" name="PivotTable13"/>
    <pivotTable tabId="9" name="PivotTable6"/>
    <pivotTable tabId="9" name="PivotTable7"/>
    <pivotTable tabId="9" name="PivotTable8"/>
    <pivotTable tabId="9" name="PivotTable9"/>
  </pivotTables>
  <data>
    <tabular pivotCacheId="816763712">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F1797B37-DAFC-4BAA-B85A-E000E3229A52}" cache="Slicer_Order_Mode" caption="Order Mode" style="SlicerStyleLight5" rowHeight="230716"/>
  <slicer name="Customer Gender" xr10:uid="{5F160714-0D76-416D-B34E-907AB9D30B8B}" cache="Slicer_Customer_Gender" caption="Customer Gender" style="SlicerStyleLight5"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8"/>
    <tableColumn id="7" xr3:uid="{43BB5DBF-46E1-4185-80C0-4361F55A385C}" name="Ship Date" dataDxfId="7"/>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6">
      <calculatedColumnFormula>orders[[#This Row],[Ship Date]]-orders[[#This Row],[Order Date]]</calculatedColumnFormula>
    </tableColumn>
    <tableColumn id="12" xr3:uid="{B071C0DA-87A9-4516-B4D9-4F5B7D3FF44A}" name="Weeknum" dataDxfId="5">
      <calculatedColumnFormula>WEEKNUM(orders[[#This Row],[Order Date]])</calculatedColumnFormula>
    </tableColumn>
    <tableColumn id="13" xr3:uid="{B8EA9E28-7541-4E76-9935-C26438661A18}" name="Gender Value" dataDxfId="4">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87E87-077F-4AFF-B13F-BAAE54CE00E7}">
  <dimension ref="A3:L27"/>
  <sheetViews>
    <sheetView topLeftCell="A8" workbookViewId="0">
      <selection activeCell="B14" sqref="B14"/>
    </sheetView>
  </sheetViews>
  <sheetFormatPr defaultRowHeight="14"/>
  <cols>
    <col min="1" max="1" width="12.9140625" bestFit="1" customWidth="1"/>
    <col min="2" max="2" width="14.08203125" bestFit="1" customWidth="1"/>
    <col min="3" max="3" width="14.5" bestFit="1" customWidth="1"/>
    <col min="4" max="4" width="13.4140625" bestFit="1" customWidth="1"/>
    <col min="5" max="5" width="14.5" bestFit="1" customWidth="1"/>
  </cols>
  <sheetData>
    <row r="3" spans="1:12">
      <c r="A3" t="s">
        <v>2521</v>
      </c>
      <c r="B3" t="s">
        <v>2522</v>
      </c>
      <c r="C3" t="s">
        <v>2523</v>
      </c>
      <c r="D3" t="s">
        <v>2519</v>
      </c>
      <c r="E3" t="s">
        <v>2520</v>
      </c>
      <c r="H3" t="s">
        <v>2518</v>
      </c>
      <c r="I3" t="s">
        <v>2524</v>
      </c>
      <c r="J3" t="s">
        <v>4</v>
      </c>
      <c r="K3" t="s">
        <v>2525</v>
      </c>
      <c r="L3" t="s">
        <v>2526</v>
      </c>
    </row>
    <row r="4" spans="1:12">
      <c r="A4" s="14">
        <v>649019.80000000144</v>
      </c>
      <c r="B4" s="16">
        <v>3.9620833333333332</v>
      </c>
      <c r="C4" s="17">
        <v>2.3424999999999998</v>
      </c>
      <c r="D4" s="14">
        <v>2400</v>
      </c>
      <c r="E4" s="14">
        <v>11997</v>
      </c>
      <c r="H4">
        <f>GETPIVOTDATA("Count of TX ID",$A$3)</f>
        <v>2400</v>
      </c>
      <c r="I4">
        <f>GETPIVOTDATA("Sum of Quantity",$A$3)</f>
        <v>11997</v>
      </c>
      <c r="J4">
        <f>GETPIVOTDATA("Sum of Amount",$A$3)</f>
        <v>649019.80000000144</v>
      </c>
      <c r="K4" s="16">
        <f>GETPIVOTDATA("Average of Rating C",$A$3)</f>
        <v>3.9620833333333332</v>
      </c>
      <c r="L4" s="17">
        <f>GETPIVOTDATA("Average of Days to Deliver",$A$3)</f>
        <v>2.3424999999999998</v>
      </c>
    </row>
    <row r="13" spans="1:12">
      <c r="A13" s="18" t="s">
        <v>2527</v>
      </c>
      <c r="B13" t="s">
        <v>2521</v>
      </c>
      <c r="C13" t="s">
        <v>2520</v>
      </c>
    </row>
    <row r="14" spans="1:12">
      <c r="A14" s="19">
        <v>1</v>
      </c>
      <c r="B14" s="20">
        <v>32413.300000000003</v>
      </c>
      <c r="C14" s="14">
        <v>546</v>
      </c>
    </row>
    <row r="15" spans="1:12">
      <c r="A15" s="19">
        <v>2</v>
      </c>
      <c r="B15" s="20">
        <v>49562.999999999993</v>
      </c>
      <c r="C15" s="14">
        <v>905</v>
      </c>
    </row>
    <row r="16" spans="1:12">
      <c r="A16" s="19">
        <v>3</v>
      </c>
      <c r="B16" s="20">
        <v>41700.400000000016</v>
      </c>
      <c r="C16" s="14">
        <v>796</v>
      </c>
    </row>
    <row r="17" spans="1:6">
      <c r="A17" s="19">
        <v>4</v>
      </c>
      <c r="B17" s="20">
        <v>46782.599999999984</v>
      </c>
      <c r="C17" s="14">
        <v>913</v>
      </c>
    </row>
    <row r="18" spans="1:6">
      <c r="A18" s="19">
        <v>5</v>
      </c>
      <c r="B18" s="20">
        <v>42676.100000000006</v>
      </c>
      <c r="C18" s="14">
        <v>844</v>
      </c>
    </row>
    <row r="19" spans="1:6">
      <c r="A19" s="19">
        <v>6</v>
      </c>
      <c r="B19" s="20">
        <v>62910.7</v>
      </c>
      <c r="C19" s="14">
        <v>1202</v>
      </c>
      <c r="E19" s="14"/>
      <c r="F19" s="14"/>
    </row>
    <row r="20" spans="1:6">
      <c r="A20" s="19">
        <v>7</v>
      </c>
      <c r="B20" s="20">
        <v>50332.200000000004</v>
      </c>
      <c r="C20" s="14">
        <v>935</v>
      </c>
    </row>
    <row r="21" spans="1:6">
      <c r="A21" s="19">
        <v>8</v>
      </c>
      <c r="B21" s="20">
        <v>58760.599999999977</v>
      </c>
      <c r="C21" s="14">
        <v>1128</v>
      </c>
    </row>
    <row r="22" spans="1:6">
      <c r="A22" s="19">
        <v>9</v>
      </c>
      <c r="B22" s="20">
        <v>52017.299999999996</v>
      </c>
      <c r="C22" s="14">
        <v>1007</v>
      </c>
    </row>
    <row r="23" spans="1:6">
      <c r="A23" s="19">
        <v>10</v>
      </c>
      <c r="B23" s="20">
        <v>64915.700000000033</v>
      </c>
      <c r="C23" s="14">
        <v>1128</v>
      </c>
    </row>
    <row r="24" spans="1:6">
      <c r="A24" s="19">
        <v>11</v>
      </c>
      <c r="B24" s="20">
        <v>45943.80000000001</v>
      </c>
      <c r="C24" s="14">
        <v>861</v>
      </c>
    </row>
    <row r="25" spans="1:6">
      <c r="A25" s="19">
        <v>12</v>
      </c>
      <c r="B25" s="20">
        <v>55077.900000000031</v>
      </c>
      <c r="C25" s="14">
        <v>944</v>
      </c>
    </row>
    <row r="26" spans="1:6">
      <c r="A26" s="19">
        <v>13</v>
      </c>
      <c r="B26" s="20">
        <v>45926.19999999999</v>
      </c>
      <c r="C26" s="14">
        <v>788</v>
      </c>
    </row>
    <row r="27" spans="1:6">
      <c r="A27" s="19" t="s">
        <v>2528</v>
      </c>
      <c r="B27" s="20">
        <v>649019.79999999993</v>
      </c>
      <c r="C27" s="14">
        <v>11997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3" sqref="B13"/>
    </sheetView>
  </sheetViews>
  <sheetFormatPr defaultRowHeight="14"/>
  <cols>
    <col min="1" max="1" width="3.6640625" customWidth="1"/>
    <col min="2" max="2" width="52.75" customWidth="1"/>
  </cols>
  <sheetData>
    <row r="2" spans="2:2">
      <c r="B2" s="3" t="s">
        <v>2503</v>
      </c>
    </row>
    <row r="3" spans="2:2">
      <c r="B3" s="4" t="s">
        <v>2504</v>
      </c>
    </row>
    <row r="4" spans="2:2">
      <c r="B4" s="4" t="s">
        <v>2505</v>
      </c>
    </row>
    <row r="5" spans="2:2">
      <c r="B5" s="4" t="s">
        <v>2506</v>
      </c>
    </row>
    <row r="6" spans="2:2">
      <c r="B6" s="4" t="s">
        <v>2507</v>
      </c>
    </row>
    <row r="7" spans="2:2">
      <c r="B7" s="4" t="s">
        <v>2508</v>
      </c>
    </row>
    <row r="10" spans="2:2">
      <c r="B10" s="3" t="s">
        <v>2509</v>
      </c>
    </row>
    <row r="11" spans="2:2">
      <c r="B11" t="s">
        <v>2510</v>
      </c>
    </row>
    <row r="12" spans="2:2">
      <c r="B12" t="s">
        <v>2511</v>
      </c>
    </row>
    <row r="13" spans="2:2">
      <c r="B13" t="s">
        <v>2512</v>
      </c>
    </row>
    <row r="14" spans="2:2">
      <c r="B14" t="s">
        <v>2513</v>
      </c>
    </row>
    <row r="15" spans="2:2">
      <c r="B15" t="s">
        <v>2514</v>
      </c>
    </row>
    <row r="16" spans="2:2">
      <c r="B16" t="s">
        <v>2515</v>
      </c>
    </row>
    <row r="17" spans="2:2">
      <c r="B17" t="s">
        <v>2516</v>
      </c>
    </row>
    <row r="18" spans="2:2">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8998A-E550-4CCC-945A-26FCC9048953}">
  <dimension ref="A2:K10"/>
  <sheetViews>
    <sheetView showGridLines="0" workbookViewId="0">
      <selection activeCell="H10" sqref="H10:K10"/>
    </sheetView>
  </sheetViews>
  <sheetFormatPr defaultRowHeight="14"/>
  <cols>
    <col min="1" max="1" width="14.08203125" bestFit="1" customWidth="1"/>
    <col min="2" max="2" width="15.58203125" bestFit="1" customWidth="1"/>
    <col min="3" max="3" width="6.9140625" bestFit="1" customWidth="1"/>
    <col min="4" max="4" width="5.9140625" bestFit="1" customWidth="1"/>
    <col min="5" max="5" width="9" bestFit="1" customWidth="1"/>
    <col min="6" max="6" width="10.83203125" bestFit="1" customWidth="1"/>
    <col min="8" max="8" width="10.33203125" bestFit="1" customWidth="1"/>
    <col min="11" max="11" width="11.5" bestFit="1" customWidth="1"/>
  </cols>
  <sheetData>
    <row r="2" spans="1:11">
      <c r="H2" t="s">
        <v>2534</v>
      </c>
    </row>
    <row r="3" spans="1:11">
      <c r="A3" s="18" t="s">
        <v>2521</v>
      </c>
      <c r="B3" s="18" t="s">
        <v>2529</v>
      </c>
    </row>
    <row r="4" spans="1:11" ht="18">
      <c r="A4" s="18" t="s">
        <v>2527</v>
      </c>
      <c r="B4" t="s">
        <v>2530</v>
      </c>
      <c r="C4" t="s">
        <v>2531</v>
      </c>
      <c r="D4" t="s">
        <v>2532</v>
      </c>
      <c r="E4" t="s">
        <v>2533</v>
      </c>
      <c r="F4" t="s">
        <v>2528</v>
      </c>
      <c r="H4" s="25"/>
      <c r="I4" s="26" t="str">
        <f>C4</f>
        <v>Male</v>
      </c>
      <c r="J4" s="26" t="str">
        <f t="shared" ref="J4:K4" si="0">D4</f>
        <v>Other</v>
      </c>
      <c r="K4" s="27" t="str">
        <f t="shared" si="0"/>
        <v>Unknown</v>
      </c>
    </row>
    <row r="5" spans="1:11" ht="15.5">
      <c r="A5" s="19" t="s">
        <v>18</v>
      </c>
      <c r="B5" s="21">
        <v>0.18961825201634841</v>
      </c>
      <c r="C5" s="21">
        <v>0.12262322351336576</v>
      </c>
      <c r="D5" s="21">
        <v>1.060537752469185E-2</v>
      </c>
      <c r="E5" s="21">
        <v>3.0599220547662797E-2</v>
      </c>
      <c r="F5" s="21">
        <v>0.35344607360206881</v>
      </c>
      <c r="H5" s="24" t="str">
        <f>A5</f>
        <v>App</v>
      </c>
      <c r="I5" s="22">
        <f t="shared" ref="I5" si="1">B5</f>
        <v>0.18961825201634841</v>
      </c>
      <c r="J5" s="22">
        <f t="shared" ref="J5" si="2">C5</f>
        <v>0.12262322351336576</v>
      </c>
      <c r="K5" s="23">
        <f t="shared" ref="K5" si="3">D5</f>
        <v>1.060537752469185E-2</v>
      </c>
    </row>
    <row r="6" spans="1:11" ht="15.5">
      <c r="A6" s="19" t="s">
        <v>51</v>
      </c>
      <c r="B6" s="21">
        <v>5.0283982091147303E-2</v>
      </c>
      <c r="C6" s="21">
        <v>4.3060781812819873E-2</v>
      </c>
      <c r="D6" s="21">
        <v>1.5320025675641944E-3</v>
      </c>
      <c r="E6" s="21">
        <v>1.7794988689097006E-2</v>
      </c>
      <c r="F6" s="21">
        <v>0.11267175516062837</v>
      </c>
      <c r="H6" s="24" t="str">
        <f t="shared" ref="H6:H9" si="4">A6</f>
        <v>Instagram</v>
      </c>
      <c r="I6" s="22">
        <f t="shared" ref="I6:I9" si="5">B6</f>
        <v>5.0283982091147303E-2</v>
      </c>
      <c r="J6" s="22">
        <f t="shared" ref="J6:J9" si="6">C6</f>
        <v>4.3060781812819873E-2</v>
      </c>
      <c r="K6" s="23">
        <f t="shared" ref="K6:K9" si="7">D6</f>
        <v>1.5320025675641944E-3</v>
      </c>
    </row>
    <row r="7" spans="1:11" ht="15.5">
      <c r="A7" s="19" t="s">
        <v>70</v>
      </c>
      <c r="B7" s="21">
        <v>6.3496059750411282E-2</v>
      </c>
      <c r="C7" s="21">
        <v>4.6071629863988765E-2</v>
      </c>
      <c r="D7" s="21">
        <v>2.306247051322625E-3</v>
      </c>
      <c r="E7" s="21">
        <v>3.8927934093844286E-3</v>
      </c>
      <c r="F7" s="21">
        <v>0.11576673007510711</v>
      </c>
      <c r="H7" s="24" t="str">
        <f t="shared" si="4"/>
        <v>Partner App</v>
      </c>
      <c r="I7" s="22">
        <f t="shared" si="5"/>
        <v>6.3496059750411282E-2</v>
      </c>
      <c r="J7" s="22">
        <f t="shared" si="6"/>
        <v>4.6071629863988765E-2</v>
      </c>
      <c r="K7" s="23">
        <f t="shared" si="7"/>
        <v>2.306247051322625E-3</v>
      </c>
    </row>
    <row r="8" spans="1:11" ht="15.5">
      <c r="A8" s="19" t="s">
        <v>40</v>
      </c>
      <c r="B8" s="21">
        <v>9.6337892927149532E-2</v>
      </c>
      <c r="C8" s="21">
        <v>6.7920115842382611E-2</v>
      </c>
      <c r="D8" s="21">
        <v>5.4979832664581261E-3</v>
      </c>
      <c r="E8" s="21">
        <v>1.2933041488102518E-2</v>
      </c>
      <c r="F8" s="21">
        <v>0.1826890335240928</v>
      </c>
      <c r="H8" s="24" t="str">
        <f t="shared" si="4"/>
        <v>Target.com</v>
      </c>
      <c r="I8" s="22">
        <f t="shared" si="5"/>
        <v>9.6337892927149532E-2</v>
      </c>
      <c r="J8" s="22">
        <f t="shared" si="6"/>
        <v>6.7920115842382611E-2</v>
      </c>
      <c r="K8" s="23">
        <f t="shared" si="7"/>
        <v>5.4979832664581261E-3</v>
      </c>
    </row>
    <row r="9" spans="1:11" ht="15.5">
      <c r="A9" s="19" t="s">
        <v>35</v>
      </c>
      <c r="B9" s="21">
        <v>0.12522098709469262</v>
      </c>
      <c r="C9" s="21">
        <v>9.1492740283116228E-2</v>
      </c>
      <c r="D9" s="21">
        <v>6.3042760790965081E-3</v>
      </c>
      <c r="E9" s="21">
        <v>1.2408404181197551E-2</v>
      </c>
      <c r="F9" s="21">
        <v>0.23542640763810288</v>
      </c>
      <c r="H9" s="24" t="str">
        <f t="shared" si="4"/>
        <v>Website</v>
      </c>
      <c r="I9" s="22">
        <f t="shared" si="5"/>
        <v>0.12522098709469262</v>
      </c>
      <c r="J9" s="22">
        <f t="shared" si="6"/>
        <v>9.1492740283116228E-2</v>
      </c>
      <c r="K9" s="23">
        <f t="shared" si="7"/>
        <v>6.3042760790965081E-3</v>
      </c>
    </row>
    <row r="10" spans="1:11">
      <c r="A10" s="19" t="s">
        <v>2528</v>
      </c>
      <c r="B10" s="21">
        <v>0.52495717387974916</v>
      </c>
      <c r="C10" s="21">
        <v>0.3711684913156732</v>
      </c>
      <c r="D10" s="21">
        <v>2.6245886489133303E-2</v>
      </c>
      <c r="E10" s="21">
        <v>7.7628448315444312E-2</v>
      </c>
      <c r="F10" s="21">
        <v>1</v>
      </c>
    </row>
  </sheetData>
  <conditionalFormatting sqref="L12">
    <cfRule type="colorScale" priority="3">
      <colorScale>
        <cfvo type="min"/>
        <cfvo type="percentile" val="50"/>
        <cfvo type="max"/>
        <color rgb="FF63BE7B"/>
        <color rgb="FFFFEB84"/>
        <color rgb="FFF8696B"/>
      </colorScale>
    </cfRule>
  </conditionalFormatting>
  <conditionalFormatting sqref="I5:K9">
    <cfRule type="colorScale" priority="4">
      <colorScale>
        <cfvo type="min"/>
        <cfvo type="percentile" val="50"/>
        <cfvo type="max"/>
        <color rgb="FF5A8AC6"/>
        <color rgb="FFFCFCFF"/>
        <color rgb="FFF8696B"/>
      </colorScale>
    </cfRule>
  </conditionalFormatting>
  <conditionalFormatting sqref="H4:K9">
    <cfRule type="colorScale" priority="5">
      <colorScale>
        <cfvo type="min"/>
        <cfvo type="max"/>
        <color rgb="FFFFEF9C"/>
        <color rgb="FF63BE7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00B95-C362-4E74-9041-20CD3173A681}">
  <dimension ref="A3:W195"/>
  <sheetViews>
    <sheetView topLeftCell="O24" workbookViewId="0">
      <selection activeCell="U31" sqref="U31"/>
    </sheetView>
  </sheetViews>
  <sheetFormatPr defaultRowHeight="14"/>
  <cols>
    <col min="1" max="1" width="19.25" bestFit="1" customWidth="1"/>
    <col min="2" max="2" width="15.58203125" bestFit="1" customWidth="1"/>
    <col min="3" max="4" width="4.75" bestFit="1" customWidth="1"/>
    <col min="5" max="5" width="3.75" bestFit="1" customWidth="1"/>
    <col min="6" max="6" width="10.83203125" bestFit="1" customWidth="1"/>
    <col min="11" max="11" width="12.9140625" bestFit="1" customWidth="1"/>
    <col min="12" max="12" width="14.5" bestFit="1" customWidth="1"/>
    <col min="13" max="13" width="14.08203125" bestFit="1" customWidth="1"/>
    <col min="14" max="14" width="12.9140625" bestFit="1" customWidth="1"/>
    <col min="15" max="15" width="13.4140625" bestFit="1" customWidth="1"/>
    <col min="16" max="16" width="18" bestFit="1" customWidth="1"/>
    <col min="17" max="17" width="13.4140625" bestFit="1" customWidth="1"/>
    <col min="18" max="18" width="15.58203125" bestFit="1" customWidth="1"/>
    <col min="19" max="20" width="3.75" bestFit="1" customWidth="1"/>
    <col min="21" max="21" width="4.75" bestFit="1" customWidth="1"/>
    <col min="22" max="22" width="3.75" bestFit="1" customWidth="1"/>
    <col min="23" max="23" width="10.83203125" bestFit="1" customWidth="1"/>
    <col min="24" max="24" width="5.5" bestFit="1" customWidth="1"/>
    <col min="25" max="29" width="6.5" bestFit="1" customWidth="1"/>
    <col min="30" max="32" width="5.4140625" bestFit="1" customWidth="1"/>
    <col min="33" max="35" width="6.4140625" bestFit="1" customWidth="1"/>
    <col min="36" max="36" width="6.58203125" bestFit="1" customWidth="1"/>
    <col min="37" max="42" width="5.4140625" bestFit="1" customWidth="1"/>
    <col min="43" max="57" width="6.4140625" bestFit="1" customWidth="1"/>
    <col min="58" max="64" width="5.5" bestFit="1" customWidth="1"/>
    <col min="65" max="80" width="6.5" bestFit="1" customWidth="1"/>
    <col min="81" max="86" width="5.4140625" bestFit="1" customWidth="1"/>
    <col min="87" max="101" width="6.4140625" bestFit="1" customWidth="1"/>
    <col min="102" max="102" width="6.58203125" bestFit="1" customWidth="1"/>
    <col min="103" max="111" width="5.4140625" bestFit="1" customWidth="1"/>
    <col min="112" max="133" width="6.4140625" bestFit="1" customWidth="1"/>
    <col min="134" max="142" width="5.5" bestFit="1" customWidth="1"/>
    <col min="143" max="161" width="6.5" bestFit="1" customWidth="1"/>
    <col min="162" max="170" width="5.4140625" bestFit="1" customWidth="1"/>
    <col min="171" max="190" width="6.4140625" bestFit="1" customWidth="1"/>
    <col min="191" max="191" width="6.58203125" bestFit="1" customWidth="1"/>
    <col min="192" max="200" width="5.4140625" bestFit="1" customWidth="1"/>
    <col min="201" max="222" width="6.4140625" bestFit="1" customWidth="1"/>
    <col min="223" max="231" width="5.5" bestFit="1" customWidth="1"/>
    <col min="232" max="250" width="6.5" bestFit="1" customWidth="1"/>
    <col min="251" max="259" width="5.4140625" bestFit="1" customWidth="1"/>
    <col min="260" max="279" width="6.4140625" bestFit="1" customWidth="1"/>
    <col min="280" max="280" width="6.58203125" bestFit="1" customWidth="1"/>
    <col min="281" max="289" width="5.4140625" bestFit="1" customWidth="1"/>
    <col min="290" max="311" width="6.4140625" bestFit="1" customWidth="1"/>
    <col min="312" max="320" width="5.5" bestFit="1" customWidth="1"/>
    <col min="321" max="339" width="6.5" bestFit="1" customWidth="1"/>
    <col min="340" max="348" width="5.4140625" bestFit="1" customWidth="1"/>
    <col min="349" max="368" width="6.4140625" bestFit="1" customWidth="1"/>
    <col min="369" max="369" width="6.58203125" bestFit="1" customWidth="1"/>
    <col min="370" max="370" width="10.83203125" bestFit="1" customWidth="1"/>
  </cols>
  <sheetData>
    <row r="3" spans="1:2">
      <c r="A3" s="18" t="s">
        <v>2527</v>
      </c>
      <c r="B3" t="s">
        <v>2519</v>
      </c>
    </row>
    <row r="4" spans="1:2">
      <c r="A4" s="19">
        <v>1</v>
      </c>
      <c r="B4" s="14">
        <v>397</v>
      </c>
    </row>
    <row r="5" spans="1:2">
      <c r="A5" s="19">
        <v>2</v>
      </c>
      <c r="B5" s="14">
        <v>540</v>
      </c>
    </row>
    <row r="6" spans="1:2">
      <c r="A6" s="19">
        <v>3</v>
      </c>
      <c r="B6" s="14">
        <v>375</v>
      </c>
    </row>
    <row r="7" spans="1:2">
      <c r="A7" s="19">
        <v>4</v>
      </c>
      <c r="B7" s="14">
        <v>246</v>
      </c>
    </row>
    <row r="8" spans="1:2">
      <c r="A8" s="19">
        <v>5</v>
      </c>
      <c r="B8" s="14">
        <v>195</v>
      </c>
    </row>
    <row r="9" spans="1:2">
      <c r="A9" s="19" t="s">
        <v>2536</v>
      </c>
      <c r="B9" s="14">
        <v>122</v>
      </c>
    </row>
    <row r="10" spans="1:2">
      <c r="A10" s="19" t="s">
        <v>2537</v>
      </c>
      <c r="B10" s="14">
        <v>114</v>
      </c>
    </row>
    <row r="11" spans="1:2">
      <c r="A11" s="19" t="s">
        <v>2538</v>
      </c>
      <c r="B11" s="14">
        <v>73</v>
      </c>
    </row>
    <row r="12" spans="1:2">
      <c r="A12" s="19" t="s">
        <v>2539</v>
      </c>
      <c r="B12" s="14">
        <v>52</v>
      </c>
    </row>
    <row r="13" spans="1:2">
      <c r="A13" s="19" t="s">
        <v>2540</v>
      </c>
      <c r="B13" s="14">
        <v>53</v>
      </c>
    </row>
    <row r="14" spans="1:2">
      <c r="A14" s="19" t="s">
        <v>2535</v>
      </c>
      <c r="B14" s="14">
        <v>233</v>
      </c>
    </row>
    <row r="15" spans="1:2">
      <c r="A15" s="19" t="s">
        <v>2528</v>
      </c>
      <c r="B15" s="14">
        <v>2400</v>
      </c>
    </row>
    <row r="26" spans="1:23">
      <c r="N26" s="18" t="s">
        <v>2527</v>
      </c>
      <c r="O26" t="s">
        <v>2519</v>
      </c>
    </row>
    <row r="27" spans="1:23">
      <c r="N27" s="19">
        <v>0</v>
      </c>
      <c r="O27" s="14">
        <v>175</v>
      </c>
      <c r="Q27" s="18" t="s">
        <v>2519</v>
      </c>
      <c r="R27" s="18" t="s">
        <v>2529</v>
      </c>
    </row>
    <row r="28" spans="1:23">
      <c r="A28" s="18" t="s">
        <v>2520</v>
      </c>
      <c r="B28" s="18" t="s">
        <v>2529</v>
      </c>
      <c r="N28" s="19">
        <v>1</v>
      </c>
      <c r="O28" s="14">
        <v>888</v>
      </c>
      <c r="Q28" s="18" t="s">
        <v>2527</v>
      </c>
      <c r="R28">
        <v>1</v>
      </c>
      <c r="S28">
        <v>2</v>
      </c>
      <c r="T28">
        <v>3</v>
      </c>
      <c r="U28">
        <v>4</v>
      </c>
      <c r="V28">
        <v>5</v>
      </c>
      <c r="W28" t="s">
        <v>2528</v>
      </c>
    </row>
    <row r="29" spans="1:23">
      <c r="A29" s="18" t="s">
        <v>2527</v>
      </c>
      <c r="C29" t="s">
        <v>27</v>
      </c>
      <c r="D29" t="s">
        <v>23</v>
      </c>
      <c r="E29" t="s">
        <v>89</v>
      </c>
      <c r="F29" t="s">
        <v>2528</v>
      </c>
      <c r="K29" s="18" t="s">
        <v>2527</v>
      </c>
      <c r="L29" t="s">
        <v>2520</v>
      </c>
      <c r="N29" s="19">
        <v>2</v>
      </c>
      <c r="O29" s="14">
        <v>538</v>
      </c>
      <c r="Q29" s="19" t="s">
        <v>2542</v>
      </c>
      <c r="R29" s="14">
        <v>7</v>
      </c>
      <c r="S29" s="14">
        <v>37</v>
      </c>
      <c r="T29" s="14">
        <v>150</v>
      </c>
      <c r="U29" s="14">
        <v>312</v>
      </c>
      <c r="V29" s="14">
        <v>224</v>
      </c>
      <c r="W29" s="14">
        <v>730</v>
      </c>
    </row>
    <row r="30" spans="1:23">
      <c r="A30" s="19" t="s">
        <v>44</v>
      </c>
      <c r="B30" s="14">
        <v>98</v>
      </c>
      <c r="C30" s="14">
        <v>744</v>
      </c>
      <c r="D30" s="14">
        <v>713</v>
      </c>
      <c r="E30" s="14">
        <v>90</v>
      </c>
      <c r="F30" s="14">
        <v>1645</v>
      </c>
      <c r="K30" s="19"/>
      <c r="L30" s="14">
        <v>736</v>
      </c>
      <c r="N30" s="19">
        <v>3</v>
      </c>
      <c r="O30" s="14">
        <v>344</v>
      </c>
      <c r="Q30" s="19" t="s">
        <v>2543</v>
      </c>
      <c r="R30" s="14">
        <v>8</v>
      </c>
      <c r="S30" s="14">
        <v>51</v>
      </c>
      <c r="T30" s="14">
        <v>182</v>
      </c>
      <c r="U30" s="14">
        <v>373</v>
      </c>
      <c r="V30" s="14">
        <v>247</v>
      </c>
      <c r="W30" s="14">
        <v>861</v>
      </c>
    </row>
    <row r="31" spans="1:23">
      <c r="A31" s="19" t="s">
        <v>39</v>
      </c>
      <c r="B31" s="14">
        <v>214</v>
      </c>
      <c r="C31" s="14">
        <v>716</v>
      </c>
      <c r="D31" s="14">
        <v>598</v>
      </c>
      <c r="E31" s="14">
        <v>18</v>
      </c>
      <c r="F31" s="14">
        <v>1546</v>
      </c>
      <c r="K31" s="19" t="s">
        <v>27</v>
      </c>
      <c r="L31" s="14">
        <v>6272</v>
      </c>
      <c r="N31" s="19">
        <v>4</v>
      </c>
      <c r="O31" s="14">
        <v>200</v>
      </c>
      <c r="Q31" s="19" t="s">
        <v>2544</v>
      </c>
      <c r="R31" s="14">
        <v>6</v>
      </c>
      <c r="S31" s="14">
        <v>39</v>
      </c>
      <c r="T31" s="14">
        <v>163</v>
      </c>
      <c r="U31" s="14">
        <v>351</v>
      </c>
      <c r="V31" s="14">
        <v>250</v>
      </c>
      <c r="W31" s="14">
        <v>809</v>
      </c>
    </row>
    <row r="32" spans="1:23">
      <c r="A32" s="19" t="s">
        <v>26</v>
      </c>
      <c r="B32" s="14">
        <v>137</v>
      </c>
      <c r="C32" s="14">
        <v>627</v>
      </c>
      <c r="D32" s="14">
        <v>393</v>
      </c>
      <c r="E32" s="14">
        <v>29</v>
      </c>
      <c r="F32" s="14">
        <v>1186</v>
      </c>
      <c r="K32" s="19" t="s">
        <v>23</v>
      </c>
      <c r="L32" s="14">
        <v>4672</v>
      </c>
      <c r="N32" s="19">
        <v>5</v>
      </c>
      <c r="O32" s="14">
        <v>94</v>
      </c>
      <c r="Q32" s="19" t="s">
        <v>2528</v>
      </c>
      <c r="R32" s="14">
        <v>21</v>
      </c>
      <c r="S32" s="14">
        <v>127</v>
      </c>
      <c r="T32" s="14">
        <v>495</v>
      </c>
      <c r="U32" s="14">
        <v>1036</v>
      </c>
      <c r="V32" s="14">
        <v>721</v>
      </c>
      <c r="W32" s="14">
        <v>2400</v>
      </c>
    </row>
    <row r="33" spans="1:15">
      <c r="A33" s="19" t="s">
        <v>22</v>
      </c>
      <c r="B33" s="14">
        <v>16</v>
      </c>
      <c r="C33" s="14">
        <v>568</v>
      </c>
      <c r="D33" s="14">
        <v>306</v>
      </c>
      <c r="E33" s="14">
        <v>22</v>
      </c>
      <c r="F33" s="14">
        <v>912</v>
      </c>
      <c r="K33" s="19" t="s">
        <v>89</v>
      </c>
      <c r="L33" s="14">
        <v>317</v>
      </c>
      <c r="N33" s="19">
        <v>6</v>
      </c>
      <c r="O33" s="14">
        <v>51</v>
      </c>
    </row>
    <row r="34" spans="1:15">
      <c r="A34" s="19" t="s">
        <v>54</v>
      </c>
      <c r="B34" s="14">
        <v>22</v>
      </c>
      <c r="C34" s="14">
        <v>482</v>
      </c>
      <c r="D34" s="14">
        <v>295</v>
      </c>
      <c r="E34" s="14">
        <v>8</v>
      </c>
      <c r="F34" s="14">
        <v>807</v>
      </c>
      <c r="K34" s="19" t="s">
        <v>2528</v>
      </c>
      <c r="L34" s="14">
        <v>11997</v>
      </c>
      <c r="N34" s="19">
        <v>7</v>
      </c>
      <c r="O34" s="14">
        <v>32</v>
      </c>
    </row>
    <row r="35" spans="1:15">
      <c r="A35" s="19" t="s">
        <v>16</v>
      </c>
      <c r="B35" s="14">
        <v>24</v>
      </c>
      <c r="C35" s="14">
        <v>428</v>
      </c>
      <c r="D35" s="14">
        <v>293</v>
      </c>
      <c r="E35" s="14"/>
      <c r="F35" s="14">
        <v>745</v>
      </c>
      <c r="N35" s="19">
        <v>8</v>
      </c>
      <c r="O35" s="14">
        <v>23</v>
      </c>
    </row>
    <row r="36" spans="1:15">
      <c r="A36" s="19" t="s">
        <v>46</v>
      </c>
      <c r="B36" s="14">
        <v>39</v>
      </c>
      <c r="C36" s="14">
        <v>445</v>
      </c>
      <c r="D36" s="14">
        <v>202</v>
      </c>
      <c r="E36" s="14">
        <v>14</v>
      </c>
      <c r="F36" s="14">
        <v>700</v>
      </c>
      <c r="N36" s="19">
        <v>9</v>
      </c>
      <c r="O36" s="14">
        <v>9</v>
      </c>
    </row>
    <row r="37" spans="1:15">
      <c r="A37" s="19" t="s">
        <v>32</v>
      </c>
      <c r="B37" s="14">
        <v>15</v>
      </c>
      <c r="C37" s="14">
        <v>431</v>
      </c>
      <c r="D37" s="14">
        <v>187</v>
      </c>
      <c r="E37" s="14">
        <v>14</v>
      </c>
      <c r="F37" s="14">
        <v>647</v>
      </c>
      <c r="N37" s="19">
        <v>10</v>
      </c>
      <c r="O37" s="14">
        <v>8</v>
      </c>
    </row>
    <row r="38" spans="1:15">
      <c r="A38" s="19" t="s">
        <v>42</v>
      </c>
      <c r="B38" s="14">
        <v>9</v>
      </c>
      <c r="C38" s="14">
        <v>264</v>
      </c>
      <c r="D38" s="14">
        <v>318</v>
      </c>
      <c r="E38" s="14">
        <v>15</v>
      </c>
      <c r="F38" s="14">
        <v>606</v>
      </c>
      <c r="N38" s="19">
        <v>11</v>
      </c>
      <c r="O38" s="14">
        <v>11</v>
      </c>
    </row>
    <row r="39" spans="1:15">
      <c r="A39" s="19" t="s">
        <v>37</v>
      </c>
      <c r="B39" s="14">
        <v>23</v>
      </c>
      <c r="C39" s="14">
        <v>296</v>
      </c>
      <c r="D39" s="14">
        <v>275</v>
      </c>
      <c r="E39" s="14">
        <v>9</v>
      </c>
      <c r="F39" s="14">
        <v>603</v>
      </c>
      <c r="N39" s="19">
        <v>12</v>
      </c>
      <c r="O39" s="14">
        <v>4</v>
      </c>
    </row>
    <row r="40" spans="1:15">
      <c r="A40" s="19" t="s">
        <v>123</v>
      </c>
      <c r="B40" s="14">
        <v>8</v>
      </c>
      <c r="C40" s="14">
        <v>153</v>
      </c>
      <c r="D40" s="14">
        <v>246</v>
      </c>
      <c r="E40" s="14">
        <v>30</v>
      </c>
      <c r="F40" s="14">
        <v>437</v>
      </c>
      <c r="N40" s="19">
        <v>13</v>
      </c>
      <c r="O40" s="14">
        <v>10</v>
      </c>
    </row>
    <row r="41" spans="1:15">
      <c r="A41" s="19" t="s">
        <v>146</v>
      </c>
      <c r="B41" s="14">
        <v>31</v>
      </c>
      <c r="C41" s="14">
        <v>189</v>
      </c>
      <c r="D41" s="14">
        <v>168</v>
      </c>
      <c r="E41" s="14">
        <v>10</v>
      </c>
      <c r="F41" s="14">
        <v>398</v>
      </c>
      <c r="N41" s="19">
        <v>14</v>
      </c>
      <c r="O41" s="14">
        <v>13</v>
      </c>
    </row>
    <row r="42" spans="1:15">
      <c r="A42" s="19" t="s">
        <v>69</v>
      </c>
      <c r="B42" s="14">
        <v>24</v>
      </c>
      <c r="C42" s="14">
        <v>234</v>
      </c>
      <c r="D42" s="14">
        <v>93</v>
      </c>
      <c r="E42" s="14">
        <v>19</v>
      </c>
      <c r="F42" s="14">
        <v>370</v>
      </c>
      <c r="N42" s="19" t="s">
        <v>2528</v>
      </c>
      <c r="O42" s="14">
        <v>2400</v>
      </c>
    </row>
    <row r="43" spans="1:15">
      <c r="A43" s="19" t="s">
        <v>30</v>
      </c>
      <c r="B43" s="14">
        <v>28</v>
      </c>
      <c r="C43" s="14">
        <v>146</v>
      </c>
      <c r="D43" s="14">
        <v>94</v>
      </c>
      <c r="E43" s="14">
        <v>4</v>
      </c>
      <c r="F43" s="14">
        <v>272</v>
      </c>
    </row>
    <row r="44" spans="1:15">
      <c r="A44" s="19" t="s">
        <v>135</v>
      </c>
      <c r="B44" s="14">
        <v>12</v>
      </c>
      <c r="C44" s="14">
        <v>127</v>
      </c>
      <c r="D44" s="14">
        <v>118</v>
      </c>
      <c r="E44" s="14">
        <v>13</v>
      </c>
      <c r="F44" s="14">
        <v>270</v>
      </c>
    </row>
    <row r="45" spans="1:15">
      <c r="A45" s="19" t="s">
        <v>67</v>
      </c>
      <c r="B45" s="14"/>
      <c r="C45" s="14">
        <v>179</v>
      </c>
      <c r="D45" s="14">
        <v>76</v>
      </c>
      <c r="E45" s="14">
        <v>3</v>
      </c>
      <c r="F45" s="14">
        <v>258</v>
      </c>
    </row>
    <row r="46" spans="1:15">
      <c r="A46" s="19" t="s">
        <v>128</v>
      </c>
      <c r="B46" s="14">
        <v>24</v>
      </c>
      <c r="C46" s="14">
        <v>99</v>
      </c>
      <c r="D46" s="14">
        <v>69</v>
      </c>
      <c r="E46" s="14">
        <v>3</v>
      </c>
      <c r="F46" s="14">
        <v>195</v>
      </c>
    </row>
    <row r="47" spans="1:15">
      <c r="A47" s="19" t="s">
        <v>76</v>
      </c>
      <c r="B47" s="14">
        <v>6</v>
      </c>
      <c r="C47" s="14">
        <v>75</v>
      </c>
      <c r="D47" s="14">
        <v>103</v>
      </c>
      <c r="E47" s="14">
        <v>4</v>
      </c>
      <c r="F47" s="14">
        <v>188</v>
      </c>
    </row>
    <row r="48" spans="1:15">
      <c r="A48" s="19" t="s">
        <v>81</v>
      </c>
      <c r="B48" s="14">
        <v>6</v>
      </c>
      <c r="C48" s="14">
        <v>43</v>
      </c>
      <c r="D48" s="14">
        <v>90</v>
      </c>
      <c r="E48" s="14">
        <v>8</v>
      </c>
      <c r="F48" s="14">
        <v>147</v>
      </c>
    </row>
    <row r="49" spans="1:13">
      <c r="A49" s="19" t="s">
        <v>171</v>
      </c>
      <c r="B49" s="14"/>
      <c r="C49" s="14">
        <v>26</v>
      </c>
      <c r="D49" s="14">
        <v>35</v>
      </c>
      <c r="E49" s="14">
        <v>4</v>
      </c>
      <c r="F49" s="14">
        <v>65</v>
      </c>
    </row>
    <row r="50" spans="1:13">
      <c r="A50" s="19" t="s">
        <v>2528</v>
      </c>
      <c r="B50" s="14">
        <v>736</v>
      </c>
      <c r="C50" s="14">
        <v>6272</v>
      </c>
      <c r="D50" s="14">
        <v>4672</v>
      </c>
      <c r="E50" s="14">
        <v>317</v>
      </c>
      <c r="F50" s="14">
        <v>11997</v>
      </c>
      <c r="K50" s="5"/>
      <c r="L50" s="6"/>
      <c r="M50" s="7"/>
    </row>
    <row r="51" spans="1:13">
      <c r="K51" s="8"/>
      <c r="L51" s="9"/>
      <c r="M51" s="10"/>
    </row>
    <row r="52" spans="1:13">
      <c r="K52" s="8"/>
      <c r="L52" s="9"/>
      <c r="M52" s="10"/>
    </row>
    <row r="53" spans="1:13">
      <c r="K53" s="8"/>
      <c r="L53" s="9"/>
      <c r="M53" s="10"/>
    </row>
    <row r="54" spans="1:13">
      <c r="K54" s="8"/>
      <c r="L54" s="9"/>
      <c r="M54" s="10"/>
    </row>
    <row r="55" spans="1:13">
      <c r="K55" s="8"/>
      <c r="L55" s="9"/>
      <c r="M55" s="10"/>
    </row>
    <row r="56" spans="1:13">
      <c r="K56" s="8"/>
      <c r="L56" s="9"/>
      <c r="M56" s="10"/>
    </row>
    <row r="57" spans="1:13">
      <c r="K57" s="8"/>
      <c r="L57" s="9"/>
      <c r="M57" s="10"/>
    </row>
    <row r="58" spans="1:13">
      <c r="K58" s="8"/>
      <c r="L58" s="9"/>
      <c r="M58" s="10"/>
    </row>
    <row r="59" spans="1:13">
      <c r="K59" s="8"/>
      <c r="L59" s="9"/>
      <c r="M59" s="10"/>
    </row>
    <row r="60" spans="1:13">
      <c r="K60" s="8"/>
      <c r="L60" s="9"/>
      <c r="M60" s="10"/>
    </row>
    <row r="61" spans="1:13">
      <c r="K61" s="8"/>
      <c r="L61" s="9"/>
      <c r="M61" s="10"/>
    </row>
    <row r="62" spans="1:13">
      <c r="K62" s="8"/>
      <c r="L62" s="9"/>
      <c r="M62" s="10"/>
    </row>
    <row r="63" spans="1:13">
      <c r="K63" s="8"/>
      <c r="L63" s="9"/>
      <c r="M63" s="10"/>
    </row>
    <row r="64" spans="1:13">
      <c r="K64" s="8"/>
      <c r="L64" s="9"/>
      <c r="M64" s="10"/>
    </row>
    <row r="65" spans="11:13">
      <c r="K65" s="8"/>
      <c r="L65" s="9"/>
      <c r="M65" s="10"/>
    </row>
    <row r="66" spans="11:13">
      <c r="K66" s="8"/>
      <c r="L66" s="9"/>
      <c r="M66" s="10"/>
    </row>
    <row r="67" spans="11:13">
      <c r="K67" s="11"/>
      <c r="L67" s="12"/>
      <c r="M67" s="13"/>
    </row>
    <row r="70" spans="11:13">
      <c r="K70" s="18" t="s">
        <v>10</v>
      </c>
      <c r="L70" s="18" t="s">
        <v>11</v>
      </c>
      <c r="M70" t="s">
        <v>2521</v>
      </c>
    </row>
    <row r="71" spans="11:13">
      <c r="K71" t="s">
        <v>19</v>
      </c>
      <c r="L71" t="s">
        <v>115</v>
      </c>
      <c r="M71" s="14">
        <v>31884.999999999996</v>
      </c>
    </row>
    <row r="72" spans="11:13">
      <c r="K72" t="s">
        <v>19</v>
      </c>
      <c r="L72" t="s">
        <v>20</v>
      </c>
      <c r="M72" s="14">
        <v>10.9</v>
      </c>
    </row>
    <row r="73" spans="11:13">
      <c r="K73" t="s">
        <v>19</v>
      </c>
      <c r="L73" t="s">
        <v>641</v>
      </c>
      <c r="M73" s="14">
        <v>800.3</v>
      </c>
    </row>
    <row r="74" spans="11:13">
      <c r="K74" t="s">
        <v>19</v>
      </c>
      <c r="L74" t="s">
        <v>967</v>
      </c>
      <c r="M74" s="14">
        <v>1062.5999999999999</v>
      </c>
    </row>
    <row r="75" spans="11:13">
      <c r="K75" t="s">
        <v>19</v>
      </c>
      <c r="L75" t="s">
        <v>84</v>
      </c>
      <c r="M75" s="14">
        <v>326.20000000000005</v>
      </c>
    </row>
    <row r="76" spans="11:13">
      <c r="K76" t="s">
        <v>19</v>
      </c>
      <c r="L76" t="s">
        <v>1383</v>
      </c>
      <c r="M76" s="14">
        <v>167.5</v>
      </c>
    </row>
    <row r="77" spans="11:13">
      <c r="K77" t="s">
        <v>19</v>
      </c>
      <c r="L77" t="s">
        <v>24</v>
      </c>
      <c r="M77" s="14">
        <v>16168.7</v>
      </c>
    </row>
    <row r="78" spans="11:13">
      <c r="K78" t="s">
        <v>19</v>
      </c>
      <c r="L78" t="s">
        <v>2204</v>
      </c>
      <c r="M78" s="14">
        <v>322.40000000000003</v>
      </c>
    </row>
    <row r="79" spans="11:13">
      <c r="K79" t="s">
        <v>19</v>
      </c>
      <c r="L79" t="s">
        <v>437</v>
      </c>
      <c r="M79" s="14">
        <v>2092.8000000000002</v>
      </c>
    </row>
    <row r="80" spans="11:13">
      <c r="K80" t="s">
        <v>19</v>
      </c>
      <c r="L80" t="s">
        <v>28</v>
      </c>
      <c r="M80" s="14">
        <v>12662.500000000002</v>
      </c>
    </row>
    <row r="81" spans="11:13">
      <c r="K81" t="s">
        <v>19</v>
      </c>
      <c r="L81" t="s">
        <v>208</v>
      </c>
      <c r="M81" s="14">
        <v>343.2</v>
      </c>
    </row>
    <row r="82" spans="11:13">
      <c r="K82" t="s">
        <v>19</v>
      </c>
      <c r="L82" t="s">
        <v>587</v>
      </c>
      <c r="M82" s="14">
        <v>2188.2999999999997</v>
      </c>
    </row>
    <row r="83" spans="11:13">
      <c r="K83" t="s">
        <v>19</v>
      </c>
      <c r="L83" t="s">
        <v>331</v>
      </c>
      <c r="M83" s="14">
        <v>2661.5999999999995</v>
      </c>
    </row>
    <row r="84" spans="11:13">
      <c r="K84" t="s">
        <v>19</v>
      </c>
      <c r="L84" t="s">
        <v>86</v>
      </c>
      <c r="M84" s="14">
        <v>887.5</v>
      </c>
    </row>
    <row r="85" spans="11:13">
      <c r="K85" t="s">
        <v>19</v>
      </c>
      <c r="L85" t="s">
        <v>147</v>
      </c>
      <c r="M85" s="14">
        <v>11354.199999999993</v>
      </c>
    </row>
    <row r="86" spans="11:13">
      <c r="K86" t="s">
        <v>19</v>
      </c>
      <c r="L86" t="s">
        <v>334</v>
      </c>
      <c r="M86" s="14">
        <v>1558.4</v>
      </c>
    </row>
    <row r="87" spans="11:13">
      <c r="K87" t="s">
        <v>19</v>
      </c>
      <c r="L87" t="s">
        <v>949</v>
      </c>
      <c r="M87" s="14">
        <v>2223.9</v>
      </c>
    </row>
    <row r="88" spans="11:13">
      <c r="K88" t="s">
        <v>19</v>
      </c>
      <c r="L88" t="s">
        <v>1426</v>
      </c>
      <c r="M88" s="14">
        <v>26.2</v>
      </c>
    </row>
    <row r="89" spans="11:13">
      <c r="K89" t="s">
        <v>19</v>
      </c>
      <c r="L89" t="s">
        <v>33</v>
      </c>
      <c r="M89" s="14">
        <v>215551.19999999981</v>
      </c>
    </row>
    <row r="90" spans="11:13">
      <c r="K90" t="s">
        <v>19</v>
      </c>
      <c r="L90" t="s">
        <v>364</v>
      </c>
      <c r="M90" s="14">
        <v>2687.3999999999996</v>
      </c>
    </row>
    <row r="91" spans="11:13">
      <c r="K91" t="s">
        <v>19</v>
      </c>
      <c r="L91" t="s">
        <v>545</v>
      </c>
      <c r="M91" s="14">
        <v>1463.3000000000002</v>
      </c>
    </row>
    <row r="92" spans="11:13">
      <c r="K92" t="s">
        <v>19</v>
      </c>
      <c r="L92" t="s">
        <v>416</v>
      </c>
      <c r="M92" s="14">
        <v>445.79999999999995</v>
      </c>
    </row>
    <row r="93" spans="11:13">
      <c r="K93" t="s">
        <v>19</v>
      </c>
      <c r="L93" t="s">
        <v>258</v>
      </c>
      <c r="M93" s="14">
        <v>273.59999999999997</v>
      </c>
    </row>
    <row r="94" spans="11:13">
      <c r="K94" t="s">
        <v>19</v>
      </c>
      <c r="L94" t="s">
        <v>186</v>
      </c>
      <c r="M94" s="14">
        <v>2690.4</v>
      </c>
    </row>
    <row r="95" spans="11:13">
      <c r="K95" t="s">
        <v>19</v>
      </c>
      <c r="L95" t="s">
        <v>392</v>
      </c>
      <c r="M95" s="14">
        <v>28.4</v>
      </c>
    </row>
    <row r="96" spans="11:13">
      <c r="K96" t="s">
        <v>19</v>
      </c>
      <c r="L96" t="s">
        <v>670</v>
      </c>
      <c r="M96" s="14">
        <v>204.8</v>
      </c>
    </row>
    <row r="97" spans="11:13">
      <c r="K97" t="s">
        <v>19</v>
      </c>
      <c r="L97" t="s">
        <v>802</v>
      </c>
      <c r="M97" s="14">
        <v>1607.8999999999999</v>
      </c>
    </row>
    <row r="98" spans="11:13">
      <c r="K98" t="s">
        <v>19</v>
      </c>
      <c r="L98" t="s">
        <v>98</v>
      </c>
      <c r="M98" s="14">
        <v>6444.9</v>
      </c>
    </row>
    <row r="99" spans="11:13">
      <c r="K99" t="s">
        <v>19</v>
      </c>
      <c r="L99" t="s">
        <v>49</v>
      </c>
      <c r="M99" s="14">
        <v>1809.3</v>
      </c>
    </row>
    <row r="100" spans="11:13">
      <c r="K100" t="s">
        <v>19</v>
      </c>
      <c r="L100" t="s">
        <v>188</v>
      </c>
      <c r="M100" s="14">
        <v>9680.399999999996</v>
      </c>
    </row>
    <row r="101" spans="11:13">
      <c r="K101" t="s">
        <v>19</v>
      </c>
      <c r="L101" t="s">
        <v>52</v>
      </c>
      <c r="M101" s="14">
        <v>9414.7999999999993</v>
      </c>
    </row>
    <row r="102" spans="11:13">
      <c r="K102" t="s">
        <v>19</v>
      </c>
      <c r="L102" t="s">
        <v>338</v>
      </c>
      <c r="M102" s="14">
        <v>206.1</v>
      </c>
    </row>
    <row r="103" spans="11:13">
      <c r="K103" t="s">
        <v>19</v>
      </c>
      <c r="L103" t="s">
        <v>158</v>
      </c>
      <c r="M103" s="14">
        <v>7691.3</v>
      </c>
    </row>
    <row r="104" spans="11:13">
      <c r="K104" t="s">
        <v>19</v>
      </c>
      <c r="L104" t="s">
        <v>55</v>
      </c>
      <c r="M104" s="14">
        <v>37784.900000000016</v>
      </c>
    </row>
    <row r="105" spans="11:13">
      <c r="K105" t="s">
        <v>19</v>
      </c>
      <c r="L105" t="s">
        <v>342</v>
      </c>
      <c r="M105" s="14">
        <v>1129.7</v>
      </c>
    </row>
    <row r="106" spans="11:13">
      <c r="K106" t="s">
        <v>19</v>
      </c>
      <c r="L106" t="s">
        <v>59</v>
      </c>
      <c r="M106" s="14">
        <v>20988.9</v>
      </c>
    </row>
    <row r="107" spans="11:13">
      <c r="K107" t="s">
        <v>19</v>
      </c>
      <c r="L107" t="s">
        <v>62</v>
      </c>
      <c r="M107" s="14">
        <v>98367.099999999977</v>
      </c>
    </row>
    <row r="108" spans="11:13">
      <c r="K108" t="s">
        <v>19</v>
      </c>
      <c r="L108" t="s">
        <v>103</v>
      </c>
      <c r="M108" s="14">
        <v>21911.9</v>
      </c>
    </row>
    <row r="109" spans="11:13">
      <c r="K109" t="s">
        <v>19</v>
      </c>
      <c r="L109" t="s">
        <v>201</v>
      </c>
      <c r="M109" s="14">
        <v>5441.2</v>
      </c>
    </row>
    <row r="110" spans="11:13">
      <c r="K110" t="s">
        <v>19</v>
      </c>
      <c r="L110" t="s">
        <v>429</v>
      </c>
      <c r="M110" s="14">
        <v>392.8</v>
      </c>
    </row>
    <row r="111" spans="11:13">
      <c r="K111" t="s">
        <v>19</v>
      </c>
      <c r="L111" t="s">
        <v>72</v>
      </c>
      <c r="M111" s="14">
        <v>16172.000000000005</v>
      </c>
    </row>
    <row r="112" spans="11:13">
      <c r="K112" t="s">
        <v>19</v>
      </c>
      <c r="L112" t="s">
        <v>74</v>
      </c>
      <c r="M112" s="14">
        <v>4334.9999999999991</v>
      </c>
    </row>
    <row r="113" spans="1:13">
      <c r="K113" t="s">
        <v>19</v>
      </c>
      <c r="L113" t="s">
        <v>77</v>
      </c>
      <c r="M113" s="14">
        <v>37449.000000000007</v>
      </c>
    </row>
    <row r="114" spans="1:13">
      <c r="K114" t="s">
        <v>19</v>
      </c>
      <c r="L114" t="s">
        <v>309</v>
      </c>
      <c r="M114" s="14">
        <v>2447.5</v>
      </c>
    </row>
    <row r="115" spans="1:13">
      <c r="K115" t="s">
        <v>19</v>
      </c>
      <c r="L115" t="s">
        <v>1116</v>
      </c>
      <c r="M115" s="14">
        <v>3391.1</v>
      </c>
    </row>
    <row r="116" spans="1:13">
      <c r="K116" t="s">
        <v>19</v>
      </c>
      <c r="L116" t="s">
        <v>700</v>
      </c>
      <c r="M116" s="14">
        <v>30.8</v>
      </c>
    </row>
    <row r="117" spans="1:13">
      <c r="K117" t="s">
        <v>19</v>
      </c>
      <c r="L117" t="s">
        <v>268</v>
      </c>
      <c r="M117" s="14">
        <v>332.3</v>
      </c>
    </row>
    <row r="118" spans="1:13">
      <c r="K118" t="s">
        <v>19</v>
      </c>
      <c r="L118" t="s">
        <v>377</v>
      </c>
      <c r="M118" s="14">
        <v>3175.9999999999995</v>
      </c>
    </row>
    <row r="119" spans="1:13">
      <c r="K119" t="s">
        <v>19</v>
      </c>
      <c r="L119" t="s">
        <v>108</v>
      </c>
      <c r="M119" s="14">
        <v>20939.600000000002</v>
      </c>
    </row>
    <row r="120" spans="1:13">
      <c r="K120" t="s">
        <v>19</v>
      </c>
      <c r="L120" t="s">
        <v>110</v>
      </c>
      <c r="M120" s="14">
        <v>10185.899999999996</v>
      </c>
    </row>
    <row r="121" spans="1:13">
      <c r="K121" t="s">
        <v>19</v>
      </c>
      <c r="L121" t="s">
        <v>292</v>
      </c>
      <c r="M121" s="14">
        <v>958.7</v>
      </c>
    </row>
    <row r="122" spans="1:13">
      <c r="K122" t="s">
        <v>19</v>
      </c>
      <c r="L122" t="s">
        <v>79</v>
      </c>
      <c r="M122" s="14">
        <v>323</v>
      </c>
    </row>
    <row r="123" spans="1:13">
      <c r="A123" s="15" t="s">
        <v>10</v>
      </c>
      <c r="B123" s="15" t="s">
        <v>11</v>
      </c>
      <c r="C123" s="15" t="s">
        <v>2520</v>
      </c>
      <c r="K123" t="s">
        <v>19</v>
      </c>
      <c r="L123" t="s">
        <v>608</v>
      </c>
      <c r="M123" s="14">
        <v>167.70000000000002</v>
      </c>
    </row>
    <row r="124" spans="1:13">
      <c r="A124" s="28" t="s">
        <v>19</v>
      </c>
      <c r="B124" t="s">
        <v>115</v>
      </c>
      <c r="C124" s="14">
        <v>579</v>
      </c>
      <c r="K124" t="s">
        <v>19</v>
      </c>
      <c r="L124" t="s">
        <v>113</v>
      </c>
      <c r="M124" s="14">
        <v>3978.5</v>
      </c>
    </row>
    <row r="125" spans="1:13">
      <c r="A125" s="28" t="s">
        <v>19</v>
      </c>
      <c r="B125" t="s">
        <v>20</v>
      </c>
      <c r="C125" s="14">
        <v>1</v>
      </c>
      <c r="K125" t="s">
        <v>19</v>
      </c>
      <c r="L125" t="s">
        <v>997</v>
      </c>
      <c r="M125" s="14">
        <v>1405</v>
      </c>
    </row>
    <row r="126" spans="1:13">
      <c r="A126" s="28" t="s">
        <v>19</v>
      </c>
      <c r="B126" t="s">
        <v>641</v>
      </c>
      <c r="C126" s="14">
        <v>9</v>
      </c>
      <c r="K126" t="s">
        <v>19</v>
      </c>
      <c r="L126" t="s">
        <v>82</v>
      </c>
      <c r="M126" s="14">
        <v>9869.0999999999985</v>
      </c>
    </row>
    <row r="127" spans="1:13">
      <c r="A127" s="28" t="s">
        <v>19</v>
      </c>
      <c r="B127" t="s">
        <v>967</v>
      </c>
      <c r="C127" s="14">
        <v>35</v>
      </c>
      <c r="K127" t="s">
        <v>19</v>
      </c>
      <c r="L127" t="s">
        <v>243</v>
      </c>
      <c r="M127" s="14">
        <v>615.29999999999995</v>
      </c>
    </row>
    <row r="128" spans="1:13">
      <c r="A128" s="28" t="s">
        <v>19</v>
      </c>
      <c r="B128" t="s">
        <v>84</v>
      </c>
      <c r="C128" s="14">
        <v>12</v>
      </c>
      <c r="K128" t="s">
        <v>19</v>
      </c>
      <c r="L128" t="s">
        <v>1911</v>
      </c>
      <c r="M128" s="14">
        <v>285</v>
      </c>
    </row>
    <row r="129" spans="1:14">
      <c r="A129" s="28" t="s">
        <v>19</v>
      </c>
      <c r="B129" t="s">
        <v>1383</v>
      </c>
      <c r="C129" s="14">
        <v>4</v>
      </c>
      <c r="K129" t="s">
        <v>2541</v>
      </c>
      <c r="M129" s="14">
        <v>649019.79999999981</v>
      </c>
    </row>
    <row r="130" spans="1:14">
      <c r="A130" s="28" t="s">
        <v>19</v>
      </c>
      <c r="B130" t="s">
        <v>24</v>
      </c>
      <c r="C130" s="14">
        <v>341</v>
      </c>
      <c r="K130" t="s">
        <v>2528</v>
      </c>
      <c r="M130" s="14">
        <v>649019.79999999981</v>
      </c>
    </row>
    <row r="131" spans="1:14">
      <c r="A131" s="28" t="s">
        <v>19</v>
      </c>
      <c r="B131" t="s">
        <v>2204</v>
      </c>
      <c r="C131" s="14">
        <v>13</v>
      </c>
    </row>
    <row r="132" spans="1:14">
      <c r="A132" s="28" t="s">
        <v>19</v>
      </c>
      <c r="B132" t="s">
        <v>437</v>
      </c>
      <c r="C132" s="14">
        <v>31</v>
      </c>
    </row>
    <row r="133" spans="1:14">
      <c r="A133" s="28" t="s">
        <v>19</v>
      </c>
      <c r="B133" t="s">
        <v>28</v>
      </c>
      <c r="C133" s="14">
        <v>279</v>
      </c>
    </row>
    <row r="134" spans="1:14">
      <c r="A134" s="28" t="s">
        <v>19</v>
      </c>
      <c r="B134" t="s">
        <v>208</v>
      </c>
      <c r="C134" s="14">
        <v>9</v>
      </c>
    </row>
    <row r="135" spans="1:14">
      <c r="A135" s="28" t="s">
        <v>19</v>
      </c>
      <c r="B135" t="s">
        <v>587</v>
      </c>
      <c r="C135" s="14">
        <v>49</v>
      </c>
    </row>
    <row r="136" spans="1:14">
      <c r="A136" s="28" t="s">
        <v>19</v>
      </c>
      <c r="B136" t="s">
        <v>331</v>
      </c>
      <c r="C136" s="14">
        <v>59</v>
      </c>
    </row>
    <row r="137" spans="1:14">
      <c r="A137" s="28" t="s">
        <v>19</v>
      </c>
      <c r="B137" t="s">
        <v>86</v>
      </c>
      <c r="C137" s="14">
        <v>8</v>
      </c>
      <c r="L137" s="15" t="s">
        <v>10</v>
      </c>
      <c r="M137" s="15" t="s">
        <v>11</v>
      </c>
      <c r="N137" s="15" t="s">
        <v>2521</v>
      </c>
    </row>
    <row r="138" spans="1:14">
      <c r="A138" s="28" t="s">
        <v>19</v>
      </c>
      <c r="B138" t="s">
        <v>147</v>
      </c>
      <c r="C138" s="14">
        <v>222</v>
      </c>
      <c r="L138" s="28" t="s">
        <v>19</v>
      </c>
      <c r="M138" t="s">
        <v>115</v>
      </c>
      <c r="N138" s="14">
        <v>31884.999999999996</v>
      </c>
    </row>
    <row r="139" spans="1:14">
      <c r="A139" s="28" t="s">
        <v>19</v>
      </c>
      <c r="B139" t="s">
        <v>334</v>
      </c>
      <c r="C139" s="14">
        <v>36</v>
      </c>
      <c r="L139" s="28" t="s">
        <v>19</v>
      </c>
      <c r="M139" t="s">
        <v>20</v>
      </c>
      <c r="N139" s="14">
        <v>10.9</v>
      </c>
    </row>
    <row r="140" spans="1:14">
      <c r="A140" s="28" t="s">
        <v>19</v>
      </c>
      <c r="B140" t="s">
        <v>949</v>
      </c>
      <c r="C140" s="14">
        <v>30</v>
      </c>
      <c r="L140" s="28" t="s">
        <v>19</v>
      </c>
      <c r="M140" t="s">
        <v>641</v>
      </c>
      <c r="N140" s="14">
        <v>800.3</v>
      </c>
    </row>
    <row r="141" spans="1:14">
      <c r="A141" s="28" t="s">
        <v>19</v>
      </c>
      <c r="B141" t="s">
        <v>1426</v>
      </c>
      <c r="C141" s="14">
        <v>1</v>
      </c>
      <c r="L141" s="28" t="s">
        <v>19</v>
      </c>
      <c r="M141" t="s">
        <v>967</v>
      </c>
      <c r="N141" s="14">
        <v>1062.5999999999999</v>
      </c>
    </row>
    <row r="142" spans="1:14">
      <c r="A142" s="28" t="s">
        <v>19</v>
      </c>
      <c r="B142" t="s">
        <v>33</v>
      </c>
      <c r="C142" s="14">
        <v>3991</v>
      </c>
      <c r="L142" s="28" t="s">
        <v>19</v>
      </c>
      <c r="M142" t="s">
        <v>84</v>
      </c>
      <c r="N142" s="14">
        <v>326.20000000000005</v>
      </c>
    </row>
    <row r="143" spans="1:14">
      <c r="A143" s="28" t="s">
        <v>19</v>
      </c>
      <c r="B143" t="s">
        <v>364</v>
      </c>
      <c r="C143" s="14">
        <v>45</v>
      </c>
      <c r="L143" s="28" t="s">
        <v>19</v>
      </c>
      <c r="M143" t="s">
        <v>1383</v>
      </c>
      <c r="N143" s="14">
        <v>167.5</v>
      </c>
    </row>
    <row r="144" spans="1:14">
      <c r="A144" s="28" t="s">
        <v>19</v>
      </c>
      <c r="B144" t="s">
        <v>545</v>
      </c>
      <c r="C144" s="14">
        <v>39</v>
      </c>
      <c r="L144" s="28" t="s">
        <v>19</v>
      </c>
      <c r="M144" t="s">
        <v>24</v>
      </c>
      <c r="N144" s="14">
        <v>16168.7</v>
      </c>
    </row>
    <row r="145" spans="1:14">
      <c r="A145" s="28" t="s">
        <v>19</v>
      </c>
      <c r="B145" t="s">
        <v>416</v>
      </c>
      <c r="C145" s="14">
        <v>6</v>
      </c>
      <c r="L145" s="28" t="s">
        <v>19</v>
      </c>
      <c r="M145" t="s">
        <v>2204</v>
      </c>
      <c r="N145" s="14">
        <v>322.40000000000003</v>
      </c>
    </row>
    <row r="146" spans="1:14">
      <c r="A146" s="28" t="s">
        <v>19</v>
      </c>
      <c r="B146" t="s">
        <v>258</v>
      </c>
      <c r="C146" s="14">
        <v>9</v>
      </c>
      <c r="L146" s="28" t="s">
        <v>19</v>
      </c>
      <c r="M146" t="s">
        <v>437</v>
      </c>
      <c r="N146" s="14">
        <v>2092.8000000000002</v>
      </c>
    </row>
    <row r="147" spans="1:14">
      <c r="A147" s="28" t="s">
        <v>19</v>
      </c>
      <c r="B147" t="s">
        <v>186</v>
      </c>
      <c r="C147" s="14">
        <v>60</v>
      </c>
      <c r="L147" s="28" t="s">
        <v>19</v>
      </c>
      <c r="M147" t="s">
        <v>28</v>
      </c>
      <c r="N147" s="14">
        <v>12662.500000000002</v>
      </c>
    </row>
    <row r="148" spans="1:14">
      <c r="A148" s="28" t="s">
        <v>19</v>
      </c>
      <c r="B148" t="s">
        <v>392</v>
      </c>
      <c r="C148" s="14">
        <v>2</v>
      </c>
      <c r="L148" s="28" t="s">
        <v>19</v>
      </c>
      <c r="M148" t="s">
        <v>208</v>
      </c>
      <c r="N148" s="14">
        <v>343.2</v>
      </c>
    </row>
    <row r="149" spans="1:14">
      <c r="A149" s="28" t="s">
        <v>19</v>
      </c>
      <c r="B149" t="s">
        <v>670</v>
      </c>
      <c r="C149" s="14">
        <v>4</v>
      </c>
      <c r="L149" s="28" t="s">
        <v>19</v>
      </c>
      <c r="M149" t="s">
        <v>587</v>
      </c>
      <c r="N149" s="14">
        <v>2188.2999999999997</v>
      </c>
    </row>
    <row r="150" spans="1:14">
      <c r="A150" s="28" t="s">
        <v>19</v>
      </c>
      <c r="B150" t="s">
        <v>802</v>
      </c>
      <c r="C150" s="14">
        <v>31</v>
      </c>
      <c r="L150" s="28" t="s">
        <v>19</v>
      </c>
      <c r="M150" t="s">
        <v>331</v>
      </c>
      <c r="N150" s="14">
        <v>2661.5999999999995</v>
      </c>
    </row>
    <row r="151" spans="1:14">
      <c r="A151" s="28" t="s">
        <v>19</v>
      </c>
      <c r="B151" t="s">
        <v>98</v>
      </c>
      <c r="C151" s="14">
        <v>88</v>
      </c>
      <c r="L151" s="28" t="s">
        <v>19</v>
      </c>
      <c r="M151" t="s">
        <v>86</v>
      </c>
      <c r="N151" s="14">
        <v>887.5</v>
      </c>
    </row>
    <row r="152" spans="1:14">
      <c r="A152" s="28" t="s">
        <v>19</v>
      </c>
      <c r="B152" t="s">
        <v>49</v>
      </c>
      <c r="C152" s="14">
        <v>25</v>
      </c>
      <c r="L152" s="28" t="s">
        <v>19</v>
      </c>
      <c r="M152" t="s">
        <v>147</v>
      </c>
      <c r="N152" s="14">
        <v>11354.199999999993</v>
      </c>
    </row>
    <row r="153" spans="1:14">
      <c r="A153" s="28" t="s">
        <v>19</v>
      </c>
      <c r="B153" t="s">
        <v>188</v>
      </c>
      <c r="C153" s="14">
        <v>178</v>
      </c>
      <c r="L153" s="28" t="s">
        <v>19</v>
      </c>
      <c r="M153" t="s">
        <v>334</v>
      </c>
      <c r="N153" s="14">
        <v>1558.4</v>
      </c>
    </row>
    <row r="154" spans="1:14">
      <c r="A154" s="28" t="s">
        <v>19</v>
      </c>
      <c r="B154" t="s">
        <v>52</v>
      </c>
      <c r="C154" s="14">
        <v>141</v>
      </c>
      <c r="L154" s="28" t="s">
        <v>19</v>
      </c>
      <c r="M154" t="s">
        <v>949</v>
      </c>
      <c r="N154" s="14">
        <v>2223.9</v>
      </c>
    </row>
    <row r="155" spans="1:14">
      <c r="A155" s="28" t="s">
        <v>19</v>
      </c>
      <c r="B155" t="s">
        <v>338</v>
      </c>
      <c r="C155" s="14">
        <v>6</v>
      </c>
      <c r="L155" s="28" t="s">
        <v>19</v>
      </c>
      <c r="M155" t="s">
        <v>1426</v>
      </c>
      <c r="N155" s="14">
        <v>26.2</v>
      </c>
    </row>
    <row r="156" spans="1:14">
      <c r="A156" s="28" t="s">
        <v>19</v>
      </c>
      <c r="B156" t="s">
        <v>158</v>
      </c>
      <c r="C156" s="14">
        <v>178</v>
      </c>
      <c r="L156" s="28" t="s">
        <v>19</v>
      </c>
      <c r="M156" t="s">
        <v>33</v>
      </c>
      <c r="N156" s="14">
        <v>215551.19999999981</v>
      </c>
    </row>
    <row r="157" spans="1:14">
      <c r="A157" s="28" t="s">
        <v>19</v>
      </c>
      <c r="B157" t="s">
        <v>55</v>
      </c>
      <c r="C157" s="14">
        <v>699</v>
      </c>
      <c r="L157" s="28" t="s">
        <v>19</v>
      </c>
      <c r="M157" t="s">
        <v>364</v>
      </c>
      <c r="N157" s="14">
        <v>2687.3999999999996</v>
      </c>
    </row>
    <row r="158" spans="1:14">
      <c r="A158" s="28" t="s">
        <v>19</v>
      </c>
      <c r="B158" t="s">
        <v>342</v>
      </c>
      <c r="C158" s="14">
        <v>23</v>
      </c>
      <c r="L158" s="28" t="s">
        <v>19</v>
      </c>
      <c r="M158" t="s">
        <v>545</v>
      </c>
      <c r="N158" s="14">
        <v>1463.3000000000002</v>
      </c>
    </row>
    <row r="159" spans="1:14">
      <c r="A159" s="28" t="s">
        <v>19</v>
      </c>
      <c r="B159" t="s">
        <v>59</v>
      </c>
      <c r="C159" s="14">
        <v>356</v>
      </c>
      <c r="L159" s="28" t="s">
        <v>19</v>
      </c>
      <c r="M159" t="s">
        <v>416</v>
      </c>
      <c r="N159" s="14">
        <v>445.79999999999995</v>
      </c>
    </row>
    <row r="160" spans="1:14">
      <c r="A160" s="28" t="s">
        <v>19</v>
      </c>
      <c r="B160" t="s">
        <v>62</v>
      </c>
      <c r="C160" s="14">
        <v>1768</v>
      </c>
      <c r="L160" s="28" t="s">
        <v>19</v>
      </c>
      <c r="M160" t="s">
        <v>258</v>
      </c>
      <c r="N160" s="14">
        <v>273.59999999999997</v>
      </c>
    </row>
    <row r="161" spans="1:14">
      <c r="A161" s="28" t="s">
        <v>19</v>
      </c>
      <c r="B161" t="s">
        <v>103</v>
      </c>
      <c r="C161" s="14">
        <v>307</v>
      </c>
      <c r="L161" s="28" t="s">
        <v>19</v>
      </c>
      <c r="M161" t="s">
        <v>186</v>
      </c>
      <c r="N161" s="14">
        <v>2690.4</v>
      </c>
    </row>
    <row r="162" spans="1:14">
      <c r="A162" s="28" t="s">
        <v>19</v>
      </c>
      <c r="B162" t="s">
        <v>201</v>
      </c>
      <c r="C162" s="14">
        <v>117</v>
      </c>
      <c r="L162" s="28" t="s">
        <v>19</v>
      </c>
      <c r="M162" t="s">
        <v>392</v>
      </c>
      <c r="N162" s="14">
        <v>28.4</v>
      </c>
    </row>
    <row r="163" spans="1:14">
      <c r="A163" s="28" t="s">
        <v>19</v>
      </c>
      <c r="B163" t="s">
        <v>429</v>
      </c>
      <c r="C163" s="14">
        <v>13</v>
      </c>
      <c r="L163" s="28" t="s">
        <v>19</v>
      </c>
      <c r="M163" t="s">
        <v>670</v>
      </c>
      <c r="N163" s="14">
        <v>204.8</v>
      </c>
    </row>
    <row r="164" spans="1:14">
      <c r="A164" s="28" t="s">
        <v>19</v>
      </c>
      <c r="B164" t="s">
        <v>72</v>
      </c>
      <c r="C164" s="14">
        <v>364</v>
      </c>
      <c r="L164" s="28" t="s">
        <v>19</v>
      </c>
      <c r="M164" t="s">
        <v>802</v>
      </c>
      <c r="N164" s="14">
        <v>1607.8999999999999</v>
      </c>
    </row>
    <row r="165" spans="1:14">
      <c r="A165" s="28" t="s">
        <v>19</v>
      </c>
      <c r="B165" t="s">
        <v>74</v>
      </c>
      <c r="C165" s="14">
        <v>95</v>
      </c>
      <c r="L165" s="28" t="s">
        <v>19</v>
      </c>
      <c r="M165" t="s">
        <v>98</v>
      </c>
      <c r="N165" s="14">
        <v>6444.9</v>
      </c>
    </row>
    <row r="166" spans="1:14">
      <c r="A166" s="28" t="s">
        <v>19</v>
      </c>
      <c r="B166" t="s">
        <v>77</v>
      </c>
      <c r="C166" s="14">
        <v>737</v>
      </c>
      <c r="L166" s="28" t="s">
        <v>19</v>
      </c>
      <c r="M166" t="s">
        <v>49</v>
      </c>
      <c r="N166" s="14">
        <v>1809.3</v>
      </c>
    </row>
    <row r="167" spans="1:14">
      <c r="A167" s="28" t="s">
        <v>19</v>
      </c>
      <c r="B167" t="s">
        <v>309</v>
      </c>
      <c r="C167" s="14">
        <v>39</v>
      </c>
      <c r="L167" s="28" t="s">
        <v>19</v>
      </c>
      <c r="M167" t="s">
        <v>188</v>
      </c>
      <c r="N167" s="14">
        <v>9680.399999999996</v>
      </c>
    </row>
    <row r="168" spans="1:14">
      <c r="A168" s="28" t="s">
        <v>19</v>
      </c>
      <c r="B168" t="s">
        <v>1116</v>
      </c>
      <c r="C168" s="14">
        <v>56</v>
      </c>
      <c r="L168" s="28" t="s">
        <v>19</v>
      </c>
      <c r="M168" t="s">
        <v>52</v>
      </c>
      <c r="N168" s="14">
        <v>9414.7999999999993</v>
      </c>
    </row>
    <row r="169" spans="1:14">
      <c r="A169" s="28" t="s">
        <v>19</v>
      </c>
      <c r="B169" t="s">
        <v>700</v>
      </c>
      <c r="C169" s="14">
        <v>2</v>
      </c>
      <c r="L169" s="28" t="s">
        <v>19</v>
      </c>
      <c r="M169" t="s">
        <v>338</v>
      </c>
      <c r="N169" s="14">
        <v>206.1</v>
      </c>
    </row>
    <row r="170" spans="1:14">
      <c r="A170" s="28" t="s">
        <v>19</v>
      </c>
      <c r="B170" t="s">
        <v>268</v>
      </c>
      <c r="C170" s="14">
        <v>8</v>
      </c>
      <c r="L170" s="28" t="s">
        <v>19</v>
      </c>
      <c r="M170" t="s">
        <v>158</v>
      </c>
      <c r="N170" s="14">
        <v>7691.3</v>
      </c>
    </row>
    <row r="171" spans="1:14">
      <c r="A171" s="28" t="s">
        <v>19</v>
      </c>
      <c r="B171" t="s">
        <v>377</v>
      </c>
      <c r="C171" s="14">
        <v>52</v>
      </c>
      <c r="L171" s="28" t="s">
        <v>19</v>
      </c>
      <c r="M171" t="s">
        <v>55</v>
      </c>
      <c r="N171" s="14">
        <v>37784.900000000016</v>
      </c>
    </row>
    <row r="172" spans="1:14">
      <c r="A172" s="28" t="s">
        <v>19</v>
      </c>
      <c r="B172" t="s">
        <v>108</v>
      </c>
      <c r="C172" s="14">
        <v>295</v>
      </c>
      <c r="L172" s="28" t="s">
        <v>19</v>
      </c>
      <c r="M172" t="s">
        <v>342</v>
      </c>
      <c r="N172" s="14">
        <v>1129.7</v>
      </c>
    </row>
    <row r="173" spans="1:14">
      <c r="A173" s="28" t="s">
        <v>19</v>
      </c>
      <c r="B173" t="s">
        <v>110</v>
      </c>
      <c r="C173" s="14">
        <v>195</v>
      </c>
      <c r="L173" s="28" t="s">
        <v>19</v>
      </c>
      <c r="M173" t="s">
        <v>59</v>
      </c>
      <c r="N173" s="14">
        <v>20988.9</v>
      </c>
    </row>
    <row r="174" spans="1:14">
      <c r="A174" s="28" t="s">
        <v>19</v>
      </c>
      <c r="B174" t="s">
        <v>292</v>
      </c>
      <c r="C174" s="14">
        <v>20</v>
      </c>
      <c r="L174" s="28" t="s">
        <v>19</v>
      </c>
      <c r="M174" t="s">
        <v>62</v>
      </c>
      <c r="N174" s="14">
        <v>98367.099999999977</v>
      </c>
    </row>
    <row r="175" spans="1:14">
      <c r="A175" s="28" t="s">
        <v>19</v>
      </c>
      <c r="B175" t="s">
        <v>79</v>
      </c>
      <c r="C175" s="14">
        <v>6</v>
      </c>
      <c r="L175" s="28" t="s">
        <v>19</v>
      </c>
      <c r="M175" t="s">
        <v>103</v>
      </c>
      <c r="N175" s="14">
        <v>21911.9</v>
      </c>
    </row>
    <row r="176" spans="1:14">
      <c r="A176" s="28" t="s">
        <v>19</v>
      </c>
      <c r="B176" t="s">
        <v>608</v>
      </c>
      <c r="C176" s="14">
        <v>5</v>
      </c>
      <c r="L176" s="28" t="s">
        <v>19</v>
      </c>
      <c r="M176" t="s">
        <v>201</v>
      </c>
      <c r="N176" s="14">
        <v>5441.2</v>
      </c>
    </row>
    <row r="177" spans="1:14">
      <c r="A177" s="28" t="s">
        <v>19</v>
      </c>
      <c r="B177" t="s">
        <v>113</v>
      </c>
      <c r="C177" s="14">
        <v>94</v>
      </c>
      <c r="L177" s="28" t="s">
        <v>19</v>
      </c>
      <c r="M177" t="s">
        <v>429</v>
      </c>
      <c r="N177" s="14">
        <v>392.8</v>
      </c>
    </row>
    <row r="178" spans="1:14">
      <c r="A178" s="28" t="s">
        <v>19</v>
      </c>
      <c r="B178" t="s">
        <v>997</v>
      </c>
      <c r="C178" s="14">
        <v>28</v>
      </c>
      <c r="L178" s="28" t="s">
        <v>19</v>
      </c>
      <c r="M178" t="s">
        <v>72</v>
      </c>
      <c r="N178" s="14">
        <v>16172.000000000005</v>
      </c>
    </row>
    <row r="179" spans="1:14">
      <c r="A179" s="28" t="s">
        <v>19</v>
      </c>
      <c r="B179" t="s">
        <v>82</v>
      </c>
      <c r="C179" s="14">
        <v>179</v>
      </c>
      <c r="L179" s="28" t="s">
        <v>19</v>
      </c>
      <c r="M179" t="s">
        <v>74</v>
      </c>
      <c r="N179" s="14">
        <v>4334.9999999999991</v>
      </c>
    </row>
    <row r="180" spans="1:14">
      <c r="A180" s="28" t="s">
        <v>19</v>
      </c>
      <c r="B180" t="s">
        <v>243</v>
      </c>
      <c r="C180" s="14">
        <v>15</v>
      </c>
      <c r="L180" s="28" t="s">
        <v>19</v>
      </c>
      <c r="M180" t="s">
        <v>77</v>
      </c>
      <c r="N180" s="14">
        <v>37449.000000000007</v>
      </c>
    </row>
    <row r="181" spans="1:14">
      <c r="A181" s="29" t="s">
        <v>19</v>
      </c>
      <c r="B181" t="s">
        <v>1911</v>
      </c>
      <c r="C181" s="14">
        <v>3</v>
      </c>
      <c r="L181" s="28" t="s">
        <v>19</v>
      </c>
      <c r="M181" t="s">
        <v>309</v>
      </c>
      <c r="N181" s="14">
        <v>2447.5</v>
      </c>
    </row>
    <row r="182" spans="1:14">
      <c r="L182" s="28" t="s">
        <v>19</v>
      </c>
      <c r="M182" t="s">
        <v>1116</v>
      </c>
      <c r="N182" s="14">
        <v>3391.1</v>
      </c>
    </row>
    <row r="183" spans="1:14">
      <c r="L183" s="28" t="s">
        <v>19</v>
      </c>
      <c r="M183" t="s">
        <v>700</v>
      </c>
      <c r="N183" s="14">
        <v>30.8</v>
      </c>
    </row>
    <row r="184" spans="1:14">
      <c r="L184" s="28" t="s">
        <v>19</v>
      </c>
      <c r="M184" t="s">
        <v>268</v>
      </c>
      <c r="N184" s="14">
        <v>332.3</v>
      </c>
    </row>
    <row r="185" spans="1:14">
      <c r="L185" s="28" t="s">
        <v>19</v>
      </c>
      <c r="M185" t="s">
        <v>377</v>
      </c>
      <c r="N185" s="14">
        <v>3175.9999999999995</v>
      </c>
    </row>
    <row r="186" spans="1:14">
      <c r="L186" s="28" t="s">
        <v>19</v>
      </c>
      <c r="M186" t="s">
        <v>108</v>
      </c>
      <c r="N186" s="14">
        <v>20939.600000000002</v>
      </c>
    </row>
    <row r="187" spans="1:14">
      <c r="L187" s="28" t="s">
        <v>19</v>
      </c>
      <c r="M187" t="s">
        <v>110</v>
      </c>
      <c r="N187" s="14">
        <v>10185.899999999996</v>
      </c>
    </row>
    <row r="188" spans="1:14">
      <c r="L188" s="28" t="s">
        <v>19</v>
      </c>
      <c r="M188" t="s">
        <v>292</v>
      </c>
      <c r="N188" s="14">
        <v>958.7</v>
      </c>
    </row>
    <row r="189" spans="1:14">
      <c r="L189" s="28" t="s">
        <v>19</v>
      </c>
      <c r="M189" t="s">
        <v>79</v>
      </c>
      <c r="N189" s="14">
        <v>323</v>
      </c>
    </row>
    <row r="190" spans="1:14">
      <c r="L190" s="28" t="s">
        <v>19</v>
      </c>
      <c r="M190" t="s">
        <v>608</v>
      </c>
      <c r="N190" s="14">
        <v>167.70000000000002</v>
      </c>
    </row>
    <row r="191" spans="1:14">
      <c r="L191" s="28" t="s">
        <v>19</v>
      </c>
      <c r="M191" t="s">
        <v>113</v>
      </c>
      <c r="N191" s="14">
        <v>3978.5</v>
      </c>
    </row>
    <row r="192" spans="1:14">
      <c r="L192" s="28" t="s">
        <v>19</v>
      </c>
      <c r="M192" t="s">
        <v>997</v>
      </c>
      <c r="N192" s="14">
        <v>1405</v>
      </c>
    </row>
    <row r="193" spans="12:14">
      <c r="L193" s="28" t="s">
        <v>19</v>
      </c>
      <c r="M193" t="s">
        <v>82</v>
      </c>
      <c r="N193" s="14">
        <v>9869.0999999999985</v>
      </c>
    </row>
    <row r="194" spans="12:14">
      <c r="L194" s="28" t="s">
        <v>19</v>
      </c>
      <c r="M194" t="s">
        <v>243</v>
      </c>
      <c r="N194" s="14">
        <v>615.29999999999995</v>
      </c>
    </row>
    <row r="195" spans="12:14">
      <c r="L195" s="29" t="s">
        <v>19</v>
      </c>
      <c r="M195" t="s">
        <v>1911</v>
      </c>
      <c r="N195" s="14">
        <v>285</v>
      </c>
    </row>
  </sheetData>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D1:W10"/>
  <sheetViews>
    <sheetView zoomScale="48" zoomScaleNormal="48" workbookViewId="0">
      <selection activeCell="V4" sqref="V4"/>
    </sheetView>
  </sheetViews>
  <sheetFormatPr defaultRowHeight="14"/>
  <cols>
    <col min="1" max="1" width="3.33203125" customWidth="1"/>
    <col min="2" max="2" width="22.25" customWidth="1"/>
    <col min="3" max="4" width="3.33203125" customWidth="1"/>
    <col min="26" max="26" width="3.33203125" customWidth="1"/>
  </cols>
  <sheetData>
    <row r="1" spans="4:23">
      <c r="D1" s="32"/>
      <c r="E1" s="31"/>
      <c r="F1" s="31"/>
      <c r="G1" s="31"/>
      <c r="H1" s="31"/>
      <c r="I1" s="31"/>
      <c r="J1" s="31"/>
      <c r="K1" s="31"/>
      <c r="L1" s="31"/>
      <c r="M1" s="31"/>
      <c r="N1" s="31"/>
      <c r="O1" s="31"/>
      <c r="P1" s="31"/>
      <c r="Q1" s="31"/>
      <c r="R1" s="31"/>
      <c r="S1" s="32"/>
      <c r="T1" s="32"/>
      <c r="U1" s="32"/>
      <c r="V1" s="32"/>
      <c r="W1" s="32"/>
    </row>
    <row r="2" spans="4:23">
      <c r="D2" s="32"/>
      <c r="E2" s="31"/>
      <c r="F2" s="31"/>
      <c r="G2" s="31"/>
      <c r="H2" s="31"/>
      <c r="I2" s="31"/>
      <c r="J2" s="31"/>
      <c r="K2" s="31"/>
      <c r="L2" s="31"/>
      <c r="M2" s="31"/>
      <c r="N2" s="31"/>
      <c r="O2" s="31"/>
      <c r="P2" s="31"/>
      <c r="Q2" s="31"/>
      <c r="R2" s="31"/>
      <c r="S2" s="32"/>
      <c r="T2" s="32"/>
      <c r="U2" s="32"/>
      <c r="V2" s="32"/>
      <c r="W2" s="32"/>
    </row>
    <row r="3" spans="4:23">
      <c r="D3" s="32"/>
      <c r="E3" s="31"/>
      <c r="F3" s="31"/>
      <c r="G3" s="31"/>
      <c r="H3" s="31"/>
      <c r="I3" s="31"/>
      <c r="J3" s="31"/>
      <c r="K3" s="31"/>
      <c r="L3" s="31"/>
      <c r="M3" s="31"/>
      <c r="N3" s="31"/>
      <c r="O3" s="31"/>
      <c r="P3" s="31"/>
      <c r="Q3" s="31"/>
      <c r="R3" s="31"/>
      <c r="S3" s="32"/>
      <c r="T3" s="32"/>
      <c r="U3" s="32"/>
      <c r="V3" s="32"/>
      <c r="W3" s="32"/>
    </row>
    <row r="4" spans="4:23">
      <c r="D4" s="32"/>
      <c r="E4" s="31"/>
      <c r="F4" s="31"/>
      <c r="G4" s="31"/>
      <c r="H4" s="31"/>
      <c r="I4" s="31"/>
      <c r="J4" s="31"/>
      <c r="K4" s="31"/>
      <c r="L4" s="31"/>
      <c r="M4" s="31"/>
      <c r="N4" s="31"/>
      <c r="O4" s="31"/>
      <c r="P4" s="31"/>
      <c r="Q4" s="31"/>
      <c r="R4" s="31"/>
      <c r="S4" s="32"/>
      <c r="T4" s="32"/>
      <c r="U4" s="32"/>
      <c r="V4" s="32"/>
      <c r="W4" s="32"/>
    </row>
    <row r="5" spans="4:23">
      <c r="D5" s="32"/>
      <c r="E5" s="31"/>
      <c r="F5" s="31"/>
      <c r="G5" s="31"/>
      <c r="H5" s="31"/>
      <c r="I5" s="31"/>
      <c r="J5" s="31"/>
      <c r="K5" s="31"/>
      <c r="L5" s="31"/>
      <c r="M5" s="31"/>
      <c r="N5" s="31"/>
      <c r="O5" s="31"/>
      <c r="P5" s="31"/>
      <c r="Q5" s="31"/>
      <c r="R5" s="31"/>
      <c r="S5" s="32"/>
      <c r="T5" s="32"/>
      <c r="U5" s="32"/>
      <c r="V5" s="32"/>
      <c r="W5" s="32"/>
    </row>
    <row r="6" spans="4:23">
      <c r="D6" s="32"/>
      <c r="E6" s="31"/>
      <c r="F6" s="31"/>
      <c r="G6" s="31"/>
      <c r="H6" s="31"/>
      <c r="I6" s="31"/>
      <c r="J6" s="31"/>
      <c r="K6" s="31"/>
      <c r="L6" s="31"/>
      <c r="M6" s="31"/>
      <c r="N6" s="31"/>
      <c r="O6" s="31"/>
      <c r="P6" s="31"/>
      <c r="Q6" s="31"/>
      <c r="R6" s="31"/>
      <c r="S6" s="32"/>
      <c r="T6" s="32"/>
      <c r="U6" s="32"/>
      <c r="V6" s="32"/>
      <c r="W6" s="32"/>
    </row>
    <row r="7" spans="4:23">
      <c r="D7" s="32"/>
      <c r="E7" s="31"/>
      <c r="F7" s="30"/>
      <c r="G7" s="30"/>
      <c r="H7" s="30"/>
      <c r="I7" s="30"/>
      <c r="J7" s="30"/>
      <c r="K7" s="30"/>
      <c r="L7" s="30"/>
      <c r="M7" s="30"/>
      <c r="N7" s="30"/>
      <c r="O7" s="30"/>
      <c r="P7" s="30"/>
      <c r="Q7" s="30"/>
      <c r="R7" s="30"/>
      <c r="S7" s="32"/>
      <c r="T7" s="32"/>
      <c r="U7" s="32"/>
      <c r="V7" s="32"/>
      <c r="W7" s="32"/>
    </row>
    <row r="8" spans="4:23">
      <c r="D8" s="32"/>
      <c r="E8" s="31"/>
      <c r="F8" s="30"/>
      <c r="G8" s="30"/>
      <c r="H8" s="30"/>
      <c r="I8" s="30"/>
      <c r="J8" s="30"/>
      <c r="K8" s="30"/>
      <c r="L8" s="30"/>
      <c r="M8" s="30"/>
      <c r="N8" s="30"/>
      <c r="O8" s="30"/>
      <c r="P8" s="30"/>
      <c r="Q8" s="30"/>
      <c r="R8" s="30"/>
      <c r="T8" s="32"/>
      <c r="U8" s="32"/>
      <c r="V8" s="32"/>
      <c r="W8" s="32"/>
    </row>
    <row r="9" spans="4:23">
      <c r="T9" s="32"/>
      <c r="U9" s="32"/>
      <c r="V9" s="32"/>
      <c r="W9" s="32"/>
    </row>
    <row r="10" spans="4:23">
      <c r="V10" s="32"/>
      <c r="W10" s="3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abSelected="1" topLeftCell="A2" workbookViewId="0">
      <selection activeCell="B6" sqref="B6"/>
    </sheetView>
  </sheetViews>
  <sheetFormatPr defaultRowHeight="14"/>
  <cols>
    <col min="2" max="2" width="19.08203125" bestFit="1" customWidth="1"/>
    <col min="3" max="3" width="8.08203125" bestFit="1" customWidth="1"/>
    <col min="4" max="4" width="9.08203125" bestFit="1" customWidth="1"/>
    <col min="5" max="5" width="7.4140625" bestFit="1" customWidth="1"/>
    <col min="6" max="6" width="10" bestFit="1" customWidth="1"/>
    <col min="7" max="7" width="9.4140625" bestFit="1" customWidth="1"/>
    <col min="8" max="8" width="15.6640625" bestFit="1" customWidth="1"/>
    <col min="9" max="9" width="10.6640625" bestFit="1" customWidth="1"/>
    <col min="10" max="10" width="7.75" bestFit="1" customWidth="1"/>
    <col min="11" max="11" width="8.75" bestFit="1" customWidth="1"/>
    <col min="12" max="12" width="19.6640625" bestFit="1" customWidth="1"/>
    <col min="13" max="13" width="13.33203125" bestFit="1" customWidth="1"/>
    <col min="14" max="14" width="9.33203125" bestFit="1" customWidth="1"/>
    <col min="15" max="15" width="12.08203125" bestFit="1" customWidth="1"/>
  </cols>
  <sheetData>
    <row r="1" spans="1:15">
      <c r="A1" t="s">
        <v>0</v>
      </c>
      <c r="B1" t="s">
        <v>1</v>
      </c>
      <c r="C1" t="s">
        <v>2</v>
      </c>
      <c r="D1" t="s">
        <v>3</v>
      </c>
      <c r="E1" t="s">
        <v>4</v>
      </c>
      <c r="F1" t="s">
        <v>5</v>
      </c>
      <c r="G1" t="s">
        <v>6</v>
      </c>
      <c r="H1" t="s">
        <v>7</v>
      </c>
      <c r="I1" t="s">
        <v>8</v>
      </c>
      <c r="J1" t="s">
        <v>9</v>
      </c>
      <c r="K1" t="s">
        <v>10</v>
      </c>
      <c r="L1" t="s">
        <v>11</v>
      </c>
      <c r="M1" s="2" t="s">
        <v>12</v>
      </c>
      <c r="N1" s="2" t="s">
        <v>13</v>
      </c>
      <c r="O1" s="2" t="s">
        <v>14</v>
      </c>
    </row>
    <row r="2" spans="1:15">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Questions &amp; KPIs</vt:lpstr>
      <vt:lpstr>Sheet2</vt:lpstr>
      <vt:lpstr>Sheet5</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Syed Muhammad Ali Shah</cp:lastModifiedBy>
  <dcterms:created xsi:type="dcterms:W3CDTF">2025-06-13T02:42:26Z</dcterms:created>
  <dcterms:modified xsi:type="dcterms:W3CDTF">2025-12-02T02:51:48Z</dcterms:modified>
</cp:coreProperties>
</file>